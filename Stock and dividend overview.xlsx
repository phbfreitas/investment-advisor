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iama\OneDrive\Documents\Financas\Finance Summary\"/>
    </mc:Choice>
  </mc:AlternateContent>
  <xr:revisionPtr revIDLastSave="0" documentId="13_ncr:1_{8537B7E2-E7D5-497D-97AF-CAC41CC1EC36}" xr6:coauthVersionLast="47" xr6:coauthVersionMax="47" xr10:uidLastSave="{00000000-0000-0000-0000-000000000000}"/>
  <bookViews>
    <workbookView xWindow="-110" yWindow="-110" windowWidth="19420" windowHeight="10300" xr2:uid="{9A434641-3564-486F-B303-B8171EC270D7}"/>
  </bookViews>
  <sheets>
    <sheet name="Investments" sheetId="1" r:id="rId1"/>
    <sheet name="Dividends" sheetId="2" r:id="rId2"/>
    <sheet name="Investment Overview" sheetId="3" r:id="rId3"/>
    <sheet name="Breakdow stocks - 17Mar25" sheetId="4" r:id="rId4"/>
    <sheet name="Breakdown dashboard" sheetId="6" r:id="rId5"/>
  </sheets>
  <definedNames>
    <definedName name="_xlnm._FilterDatabase" localSheetId="3" hidden="1">'Breakdow stocks - 17Mar25'!$B$1:$S$48</definedName>
    <definedName name="_xlnm._FilterDatabase" localSheetId="0" hidden="1">Investments!$M$28:$S$43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T3" i="4"/>
  <c r="T5" i="4"/>
  <c r="T6" i="4"/>
  <c r="T7" i="4"/>
  <c r="T8" i="4"/>
  <c r="T9" i="4"/>
  <c r="T10" i="4"/>
  <c r="T11" i="4"/>
  <c r="T12" i="4"/>
  <c r="T13" i="4"/>
  <c r="T14" i="4"/>
  <c r="T15" i="4"/>
  <c r="T16" i="4"/>
  <c r="T18" i="4"/>
  <c r="T19" i="4"/>
  <c r="T20" i="4"/>
  <c r="T21" i="4"/>
  <c r="T23" i="4"/>
  <c r="T25" i="4"/>
  <c r="T27" i="4"/>
  <c r="T28" i="4"/>
  <c r="T29" i="4"/>
  <c r="T30" i="4"/>
  <c r="T31" i="4"/>
  <c r="T38" i="4"/>
  <c r="T39" i="4"/>
  <c r="T40" i="4"/>
  <c r="T41" i="4"/>
  <c r="T42" i="4"/>
  <c r="T43" i="4"/>
  <c r="T44" i="4"/>
  <c r="T45" i="4"/>
  <c r="T46" i="4"/>
  <c r="T2" i="4"/>
  <c r="L24" i="4"/>
  <c r="M26" i="4"/>
  <c r="T26" i="4" s="1"/>
  <c r="L26" i="4"/>
  <c r="M17" i="4"/>
  <c r="T17" i="4" s="1"/>
  <c r="L17" i="4"/>
  <c r="M4" i="4"/>
  <c r="T4" i="4" s="1"/>
  <c r="L4" i="4"/>
  <c r="O6" i="2" l="1"/>
  <c r="N26" i="4"/>
  <c r="K32" i="4" l="1"/>
  <c r="K34" i="4"/>
  <c r="K35" i="4"/>
  <c r="K36" i="4"/>
  <c r="M36" i="4"/>
  <c r="T36" i="4" s="1"/>
  <c r="M35" i="4"/>
  <c r="T35" i="4" s="1"/>
  <c r="M34" i="4"/>
  <c r="T34" i="4" s="1"/>
  <c r="M32" i="4"/>
  <c r="T32" i="4" s="1"/>
  <c r="W33" i="4"/>
  <c r="M33" i="4" s="1"/>
  <c r="T33" i="4" s="1"/>
  <c r="M24" i="4"/>
  <c r="T24" i="4" s="1"/>
  <c r="M22" i="4"/>
  <c r="T22" i="4" s="1"/>
  <c r="L22" i="4"/>
  <c r="N31" i="4"/>
  <c r="C21" i="6"/>
  <c r="C20" i="6"/>
  <c r="C19" i="6"/>
  <c r="Q46" i="4"/>
  <c r="Q45" i="4"/>
  <c r="Q44" i="4"/>
  <c r="Q43" i="4"/>
  <c r="Q42" i="4"/>
  <c r="Q41" i="4"/>
  <c r="Q40" i="4"/>
  <c r="Q39" i="4"/>
  <c r="Q38" i="4"/>
  <c r="M37" i="4"/>
  <c r="T37" i="4" s="1"/>
  <c r="O7" i="2" s="1"/>
  <c r="L37" i="4"/>
  <c r="N30" i="4"/>
  <c r="N27" i="4"/>
  <c r="N28" i="4"/>
  <c r="N29" i="4"/>
  <c r="N25" i="4"/>
  <c r="N23" i="4"/>
  <c r="N20" i="4"/>
  <c r="N21" i="4"/>
  <c r="N19" i="4"/>
  <c r="N18" i="4"/>
  <c r="N16" i="4"/>
  <c r="N15" i="4"/>
  <c r="N14" i="4"/>
  <c r="N13" i="4"/>
  <c r="N12" i="4"/>
  <c r="N11" i="4"/>
  <c r="N10" i="4"/>
  <c r="N9" i="4"/>
  <c r="N8" i="4"/>
  <c r="N7" i="4"/>
  <c r="N5" i="4"/>
  <c r="N6" i="4"/>
  <c r="N2" i="4"/>
  <c r="N3" i="4"/>
  <c r="C35" i="1"/>
  <c r="E10" i="1"/>
  <c r="O32" i="1"/>
  <c r="O29" i="1"/>
  <c r="O28" i="1"/>
  <c r="O22" i="1"/>
  <c r="M33" i="1"/>
  <c r="L33" i="1"/>
  <c r="M31" i="1"/>
  <c r="L31" i="1"/>
  <c r="M32" i="1"/>
  <c r="L32" i="1"/>
  <c r="M35" i="1"/>
  <c r="M30" i="1"/>
  <c r="M29" i="1"/>
  <c r="M28" i="1"/>
  <c r="M34" i="1"/>
  <c r="M37" i="1" s="1"/>
  <c r="I22" i="1"/>
  <c r="B36" i="1"/>
  <c r="G22" i="1"/>
  <c r="B35" i="1"/>
  <c r="B34" i="1"/>
  <c r="B33" i="1"/>
  <c r="B32" i="1"/>
  <c r="B31" i="1"/>
  <c r="B22" i="1"/>
  <c r="T23" i="1"/>
  <c r="R22" i="1"/>
  <c r="I10" i="1"/>
  <c r="H10" i="1"/>
  <c r="C36" i="1" s="1"/>
  <c r="I8" i="1"/>
  <c r="I9" i="1"/>
  <c r="B10" i="1"/>
  <c r="V10" i="1"/>
  <c r="N4" i="2"/>
  <c r="C13" i="2"/>
  <c r="N11" i="2"/>
  <c r="L11" i="2"/>
  <c r="J11" i="2"/>
  <c r="D11" i="2"/>
  <c r="E11" i="2"/>
  <c r="F11" i="2"/>
  <c r="G11" i="2"/>
  <c r="C11" i="2"/>
  <c r="L6" i="2"/>
  <c r="M6" i="2" s="1"/>
  <c r="L5" i="2"/>
  <c r="M5" i="2" s="1"/>
  <c r="L7" i="2"/>
  <c r="L4" i="2"/>
  <c r="E10" i="3"/>
  <c r="R35" i="1"/>
  <c r="R30" i="1"/>
  <c r="R29" i="1"/>
  <c r="R28" i="1"/>
  <c r="R34" i="1"/>
  <c r="R37" i="1" s="1"/>
  <c r="P35" i="1"/>
  <c r="P29" i="1"/>
  <c r="P28" i="1"/>
  <c r="P34" i="1"/>
  <c r="L35" i="1"/>
  <c r="L30" i="1"/>
  <c r="L29" i="1"/>
  <c r="L28" i="1"/>
  <c r="L34" i="1"/>
  <c r="O5" i="2" l="1"/>
  <c r="O4" i="2"/>
  <c r="O11" i="2" s="1"/>
  <c r="O13" i="2" s="1"/>
  <c r="T47" i="4"/>
  <c r="M47" i="4"/>
  <c r="N22" i="4"/>
  <c r="N37" i="4"/>
  <c r="N24" i="4"/>
  <c r="N4" i="4"/>
  <c r="N17" i="4"/>
  <c r="F36" i="1"/>
  <c r="N29" i="1"/>
  <c r="N30" i="1"/>
  <c r="N34" i="1"/>
  <c r="N35" i="1"/>
  <c r="N32" i="1"/>
  <c r="N31" i="1"/>
  <c r="N33" i="1"/>
  <c r="N28" i="1"/>
  <c r="M4" i="2"/>
  <c r="L13" i="2"/>
  <c r="Y9" i="1" l="1"/>
  <c r="Z9" i="1" s="1"/>
  <c r="V9" i="1"/>
  <c r="V11" i="1" s="1"/>
  <c r="I10" i="2"/>
  <c r="I8" i="2"/>
  <c r="I21" i="1"/>
  <c r="J7" i="2"/>
  <c r="K7" i="2" s="1"/>
  <c r="R21" i="1"/>
  <c r="H9" i="1"/>
  <c r="J4" i="2"/>
  <c r="K4" i="2" s="1"/>
  <c r="F8" i="2"/>
  <c r="E7" i="2"/>
  <c r="F7" i="2" s="1"/>
  <c r="H7" i="2" s="1"/>
  <c r="H11" i="2" s="1"/>
  <c r="H13" i="2" s="1"/>
  <c r="F10" i="2"/>
  <c r="G4" i="2"/>
  <c r="E4" i="2"/>
  <c r="D4" i="2"/>
  <c r="G9" i="2"/>
  <c r="E9" i="2"/>
  <c r="T11" i="1"/>
  <c r="R23" i="1"/>
  <c r="C34" i="1"/>
  <c r="C33" i="1"/>
  <c r="C32" i="1"/>
  <c r="C31" i="1"/>
  <c r="C30" i="1"/>
  <c r="C29" i="1"/>
  <c r="C28" i="1"/>
  <c r="I6" i="1"/>
  <c r="I7" i="1"/>
  <c r="I20" i="1"/>
  <c r="D41" i="1" s="1"/>
  <c r="I19" i="1"/>
  <c r="D33" i="1" s="1"/>
  <c r="I18" i="1"/>
  <c r="D32" i="1" s="1"/>
  <c r="I17" i="1"/>
  <c r="D31" i="1" s="1"/>
  <c r="I16" i="1"/>
  <c r="D30" i="1" s="1"/>
  <c r="G16" i="1"/>
  <c r="B30" i="1" s="1"/>
  <c r="I15" i="1"/>
  <c r="D29" i="1" s="1"/>
  <c r="G15" i="1"/>
  <c r="I14" i="1"/>
  <c r="G14" i="1"/>
  <c r="B28" i="1" s="1"/>
  <c r="Y3" i="1"/>
  <c r="Z3" i="1" s="1"/>
  <c r="X2" i="1"/>
  <c r="D8" i="1"/>
  <c r="D11" i="1" s="1"/>
  <c r="R6" i="1"/>
  <c r="R7" i="1"/>
  <c r="Y4" i="1"/>
  <c r="Z4" i="1" s="1"/>
  <c r="Y5" i="1"/>
  <c r="Z5" i="1" s="1"/>
  <c r="Y6" i="1"/>
  <c r="Z6" i="1" s="1"/>
  <c r="Y7" i="1"/>
  <c r="Z7" i="1" s="1"/>
  <c r="Y8" i="1"/>
  <c r="Z8" i="1" s="1"/>
  <c r="H29" i="1" l="1"/>
  <c r="H30" i="1"/>
  <c r="H31" i="1"/>
  <c r="H32" i="1"/>
  <c r="H33" i="1"/>
  <c r="F41" i="1"/>
  <c r="C41" i="1"/>
  <c r="B29" i="1"/>
  <c r="B38" i="1" s="1"/>
  <c r="I11" i="1"/>
  <c r="H36" i="1"/>
  <c r="P30" i="1"/>
  <c r="P37" i="1" s="1"/>
  <c r="N37" i="1" s="1"/>
  <c r="F33" i="1"/>
  <c r="F28" i="1"/>
  <c r="F29" i="1"/>
  <c r="F30" i="1"/>
  <c r="F31" i="1"/>
  <c r="F34" i="1"/>
  <c r="D35" i="1"/>
  <c r="F4" i="2"/>
  <c r="K11" i="2"/>
  <c r="I4" i="2"/>
  <c r="B9" i="1"/>
  <c r="B11" i="1" s="1"/>
  <c r="I7" i="2"/>
  <c r="N7" i="2" s="1"/>
  <c r="M7" i="2" s="1"/>
  <c r="G21" i="1"/>
  <c r="D34" i="1"/>
  <c r="H34" i="1" s="1"/>
  <c r="I34" i="1" s="1"/>
  <c r="R11" i="1"/>
  <c r="X11" i="1"/>
  <c r="D28" i="1"/>
  <c r="D38" i="1" s="1"/>
  <c r="Y2" i="1"/>
  <c r="Y11" i="1" s="1"/>
  <c r="Z11" i="1" s="1"/>
  <c r="G12" i="2"/>
  <c r="F9" i="2"/>
  <c r="G13" i="2"/>
  <c r="F12" i="2"/>
  <c r="D13" i="2"/>
  <c r="D12" i="2"/>
  <c r="I23" i="1"/>
  <c r="G23" i="1"/>
  <c r="H35" i="1" l="1"/>
  <c r="H38" i="1" s="1"/>
  <c r="I36" i="1"/>
  <c r="I33" i="1"/>
  <c r="I31" i="1"/>
  <c r="I30" i="1"/>
  <c r="I29" i="1"/>
  <c r="J12" i="2"/>
  <c r="L12" i="2"/>
  <c r="J13" i="2"/>
  <c r="F32" i="1"/>
  <c r="I32" i="1" s="1"/>
  <c r="F35" i="1"/>
  <c r="B41" i="1"/>
  <c r="F42" i="1" s="1"/>
  <c r="I11" i="2"/>
  <c r="E13" i="2"/>
  <c r="E12" i="2"/>
  <c r="I35" i="1" l="1"/>
  <c r="N13" i="2" l="1"/>
  <c r="N12" i="2"/>
  <c r="Q30" i="1" l="1"/>
  <c r="Q35" i="1"/>
  <c r="Q29" i="1"/>
  <c r="Q28" i="1"/>
  <c r="Q34" i="1"/>
  <c r="Q37" i="1"/>
  <c r="S35" i="1"/>
  <c r="S30" i="1"/>
  <c r="S29" i="1"/>
  <c r="S28" i="1"/>
  <c r="S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Amaral, Simone</author>
    <author>Simone Amaral</author>
  </authors>
  <commentList>
    <comment ref="X2" authorId="0" shapeId="0" xr:uid="{530BE3E8-902E-42C3-935D-3D11F5DAF5F6}">
      <text>
        <r>
          <rPr>
            <b/>
            <sz val="9"/>
            <color indexed="81"/>
            <rFont val="Tahoma"/>
            <family val="2"/>
          </rPr>
          <t>Amaral, Simone:</t>
        </r>
        <r>
          <rPr>
            <sz val="9"/>
            <color indexed="81"/>
            <rFont val="Tahoma"/>
            <family val="2"/>
          </rPr>
          <t xml:space="preserve">
$8,303 from CIBC Melon Pension (jul/16) and from $13420.47 from TD stocks (Apr/16)</t>
        </r>
      </text>
    </comment>
    <comment ref="E8" authorId="0" shapeId="0" xr:uid="{21A658FA-FA6C-48E1-97FD-E29FE601A839}">
      <text>
        <r>
          <rPr>
            <b/>
            <sz val="9"/>
            <color indexed="81"/>
            <rFont val="Tahoma"/>
            <family val="2"/>
          </rPr>
          <t>Amaral, Simone:</t>
        </r>
        <r>
          <rPr>
            <sz val="9"/>
            <color indexed="81"/>
            <rFont val="Tahoma"/>
            <family val="2"/>
          </rPr>
          <t xml:space="preserve">
From WS Invest (jun/22)</t>
        </r>
      </text>
    </comment>
    <comment ref="E10" authorId="1" shapeId="0" xr:uid="{33FFA4B2-28EF-419E-A167-DEC4386E7638}">
      <text>
        <r>
          <rPr>
            <b/>
            <sz val="9"/>
            <color indexed="81"/>
            <rFont val="Tahoma"/>
            <family val="2"/>
          </rPr>
          <t>Simone Amaral:</t>
        </r>
        <r>
          <rPr>
            <sz val="9"/>
            <color indexed="81"/>
            <rFont val="Tahoma"/>
            <family val="2"/>
          </rPr>
          <t xml:space="preserve">
From TD Waterhouse (mar/24)</t>
        </r>
      </text>
    </comment>
    <comment ref="E22" authorId="1" shapeId="0" xr:uid="{76747240-2AF1-4190-BECB-07DFACD98051}">
      <text>
        <r>
          <rPr>
            <b/>
            <sz val="9"/>
            <color indexed="81"/>
            <rFont val="Tahoma"/>
            <family val="2"/>
          </rPr>
          <t>Simone Amaral:</t>
        </r>
        <r>
          <rPr>
            <sz val="9"/>
            <color indexed="81"/>
            <rFont val="Tahoma"/>
            <family val="2"/>
          </rPr>
          <t xml:space="preserve">
Transfer from Mar/2024</t>
        </r>
      </text>
    </comment>
  </commentList>
</comments>
</file>

<file path=xl/sharedStrings.xml><?xml version="1.0" encoding="utf-8"?>
<sst xmlns="http://schemas.openxmlformats.org/spreadsheetml/2006/main" count="575" uniqueCount="155">
  <si>
    <t>Dividends</t>
  </si>
  <si>
    <t>Balace YE</t>
  </si>
  <si>
    <t>Variance</t>
  </si>
  <si>
    <t>WS Invest</t>
  </si>
  <si>
    <t>BNS Stocks</t>
  </si>
  <si>
    <t>Canada L</t>
  </si>
  <si>
    <t>Div Yeld</t>
  </si>
  <si>
    <t>Target</t>
  </si>
  <si>
    <t>Amount</t>
  </si>
  <si>
    <t>Questrade</t>
  </si>
  <si>
    <t>BNS</t>
  </si>
  <si>
    <t>TD Waterhouse</t>
  </si>
  <si>
    <t>Total year</t>
  </si>
  <si>
    <t>Contrib</t>
  </si>
  <si>
    <t>Transfer</t>
  </si>
  <si>
    <t>Port Yeld</t>
  </si>
  <si>
    <t>Port Yeld w/o Div</t>
  </si>
  <si>
    <t>All</t>
  </si>
  <si>
    <t>Summary Dividends</t>
  </si>
  <si>
    <t>Summary Balance YE</t>
  </si>
  <si>
    <t>Average month</t>
  </si>
  <si>
    <t>Company</t>
  </si>
  <si>
    <t>Holder</t>
  </si>
  <si>
    <t>Current $</t>
  </si>
  <si>
    <t>Type</t>
  </si>
  <si>
    <t>Paulo Freitas</t>
  </si>
  <si>
    <t>RSP</t>
  </si>
  <si>
    <t>Spousal RSP</t>
  </si>
  <si>
    <t>Simone Amaral</t>
  </si>
  <si>
    <t>TFSA</t>
  </si>
  <si>
    <t>Solium</t>
  </si>
  <si>
    <t>Canada Life</t>
  </si>
  <si>
    <t>Morgan Stanley</t>
  </si>
  <si>
    <t>To be received over next 3 years</t>
  </si>
  <si>
    <t>Wealthsimple</t>
  </si>
  <si>
    <t>WS Trade Paulo</t>
  </si>
  <si>
    <t>Questrade Simone</t>
  </si>
  <si>
    <t>WS Trade Simone</t>
  </si>
  <si>
    <t>WS TFSA Simone</t>
  </si>
  <si>
    <t>WS Invest Paulo</t>
  </si>
  <si>
    <t>WS Trade P</t>
  </si>
  <si>
    <t>WS Trade S</t>
  </si>
  <si>
    <t>WS Spousal S</t>
  </si>
  <si>
    <t>WS TFSA S</t>
  </si>
  <si>
    <t>DIV</t>
  </si>
  <si>
    <t>TD P</t>
  </si>
  <si>
    <t>QT S</t>
  </si>
  <si>
    <t>Account</t>
  </si>
  <si>
    <t>Stock</t>
  </si>
  <si>
    <t>Sector</t>
  </si>
  <si>
    <t>Market Value</t>
  </si>
  <si>
    <t>Yeld</t>
  </si>
  <si>
    <t>Mang fee</t>
  </si>
  <si>
    <t>Currency</t>
  </si>
  <si>
    <t>Market</t>
  </si>
  <si>
    <t>Dividend</t>
  </si>
  <si>
    <t>Canada</t>
  </si>
  <si>
    <t>Strategy Type</t>
  </si>
  <si>
    <t>Security type</t>
  </si>
  <si>
    <t>CAD</t>
  </si>
  <si>
    <t>Book cost</t>
  </si>
  <si>
    <t>BTCC.B</t>
  </si>
  <si>
    <t>ETF</t>
  </si>
  <si>
    <t>Growth</t>
  </si>
  <si>
    <t>Bitcoin</t>
  </si>
  <si>
    <t>USA</t>
  </si>
  <si>
    <t>CM</t>
  </si>
  <si>
    <t>Mix</t>
  </si>
  <si>
    <t>Banking</t>
  </si>
  <si>
    <t>Costco</t>
  </si>
  <si>
    <t>USD</t>
  </si>
  <si>
    <t>Global</t>
  </si>
  <si>
    <t>DFN</t>
  </si>
  <si>
    <t>Finance</t>
  </si>
  <si>
    <t>DOL</t>
  </si>
  <si>
    <t>ENB</t>
  </si>
  <si>
    <t>Utility</t>
  </si>
  <si>
    <t>FIE</t>
  </si>
  <si>
    <t>FLI</t>
  </si>
  <si>
    <t>Insurance</t>
  </si>
  <si>
    <t>North America</t>
  </si>
  <si>
    <t>Call</t>
  </si>
  <si>
    <t>Yes</t>
  </si>
  <si>
    <t>No</t>
  </si>
  <si>
    <t>GWO</t>
  </si>
  <si>
    <t>HDIV</t>
  </si>
  <si>
    <t>HMAX</t>
  </si>
  <si>
    <t>Active</t>
  </si>
  <si>
    <t>Passive</t>
  </si>
  <si>
    <t>Fund magt</t>
  </si>
  <si>
    <t>HYLD</t>
  </si>
  <si>
    <t>IGM</t>
  </si>
  <si>
    <t>IT</t>
  </si>
  <si>
    <t>RY</t>
  </si>
  <si>
    <t>N/A</t>
  </si>
  <si>
    <t>Profit/  loss</t>
  </si>
  <si>
    <t>TXF</t>
  </si>
  <si>
    <t>High</t>
  </si>
  <si>
    <t>VGT</t>
  </si>
  <si>
    <t>Normal</t>
  </si>
  <si>
    <t>XUT</t>
  </si>
  <si>
    <t>Stable</t>
  </si>
  <si>
    <t>ZSP</t>
  </si>
  <si>
    <t>S&amp;P</t>
  </si>
  <si>
    <t>ZWK</t>
  </si>
  <si>
    <t>ZWG</t>
  </si>
  <si>
    <t>CLM</t>
  </si>
  <si>
    <t>MFC</t>
  </si>
  <si>
    <t>MIx</t>
  </si>
  <si>
    <t>VFV</t>
  </si>
  <si>
    <t>XHU</t>
  </si>
  <si>
    <t>WS TFSA</t>
  </si>
  <si>
    <t>Bond</t>
  </si>
  <si>
    <t>BR LP 2040</t>
  </si>
  <si>
    <t>BR LP 2060</t>
  </si>
  <si>
    <t>US Equity index</t>
  </si>
  <si>
    <t>Int'l Equity Index</t>
  </si>
  <si>
    <t>Int'l Equity</t>
  </si>
  <si>
    <t>Fund</t>
  </si>
  <si>
    <t>Canada Life RRS P</t>
  </si>
  <si>
    <t>Canada Life DPSP P</t>
  </si>
  <si>
    <t>1 Year return</t>
  </si>
  <si>
    <t>5 Year return</t>
  </si>
  <si>
    <t>Row Labels</t>
  </si>
  <si>
    <t>Grand Total</t>
  </si>
  <si>
    <t>Sum of Market Value</t>
  </si>
  <si>
    <t>TILV</t>
  </si>
  <si>
    <t>Low</t>
  </si>
  <si>
    <t>ZLN</t>
  </si>
  <si>
    <t>BNS ESOP</t>
  </si>
  <si>
    <t>WS Spousal</t>
  </si>
  <si>
    <t>Gold</t>
  </si>
  <si>
    <t>VTI</t>
  </si>
  <si>
    <t>GLDM</t>
  </si>
  <si>
    <t>ZFL</t>
  </si>
  <si>
    <t>QCN</t>
  </si>
  <si>
    <t>IEFA,EEMV,GLOV</t>
  </si>
  <si>
    <t>TJX</t>
  </si>
  <si>
    <t>Cybersecurity</t>
  </si>
  <si>
    <t>Expected Annual Div</t>
  </si>
  <si>
    <t>Last year</t>
  </si>
  <si>
    <t>Stock Break</t>
  </si>
  <si>
    <t>Risk</t>
  </si>
  <si>
    <t>Extreme</t>
  </si>
  <si>
    <t>Consumer Defensive</t>
  </si>
  <si>
    <t>Energy</t>
  </si>
  <si>
    <t>Asset Mgt</t>
  </si>
  <si>
    <t>Consumer Cyclical</t>
  </si>
  <si>
    <t>CYBR</t>
  </si>
  <si>
    <t>Very Aggressive</t>
  </si>
  <si>
    <t>4 stars</t>
  </si>
  <si>
    <t>Aggressive</t>
  </si>
  <si>
    <t>Volatiity/Stanrd deviation</t>
  </si>
  <si>
    <t>4 AsarA</t>
  </si>
  <si>
    <t>External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</si>
</sst>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164" formatCode="_-&quot;$&quot;* #,##0_-;\-&quot;$&quot;* #,##0_-;_-&quot;$&quot;* &quot;-&quot;??_-;_-@_-"/>
    <numFmt numFmtId="165" formatCode="0.0%"/>
    <numFmt numFmtId="166" formatCode="0.0"/>
    <numFmt numFmtId="167" formatCode="0.000%"/>
    <numFmt numFmtId="168" formatCode="_-&quot;$&quot;* #,##0_-;\-&quot;$&quot;* #,##0_-;_-&quot;$&quot;* &quot;-&quot;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b/>
      <sz val="11"/>
      <color theme="2" tint="-0.249977111117893"/>
      <name val="Calibri"/>
      <family val="2"/>
      <scheme val="minor"/>
    </font>
    <font>
      <i/>
      <sz val="11"/>
      <color theme="2" tint="-0.749992370372631"/>
      <name val="Calibri"/>
      <family val="2"/>
      <scheme val="minor"/>
    </font>
    <font>
      <b/>
      <sz val="11"/>
      <color theme="3" tint="0.79998168889431442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DE9F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2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9" fontId="0" fillId="0" borderId="0" xfId="2" applyFont="1"/>
    <xf numFmtId="165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0" fontId="5" fillId="0" borderId="0" xfId="0" applyFont="1" applyAlignment="1">
      <alignment horizontal="center"/>
    </xf>
    <xf numFmtId="164" fontId="1" fillId="0" borderId="0" xfId="1" applyNumberFormat="1" applyFont="1"/>
    <xf numFmtId="0" fontId="5" fillId="0" borderId="0" xfId="0" applyFont="1"/>
    <xf numFmtId="164" fontId="5" fillId="0" borderId="0" xfId="0" applyNumberFormat="1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164" fontId="0" fillId="0" borderId="7" xfId="0" applyNumberFormat="1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164" fontId="6" fillId="0" borderId="0" xfId="0" applyNumberFormat="1" applyFont="1"/>
    <xf numFmtId="0" fontId="6" fillId="0" borderId="0" xfId="0" applyFont="1"/>
    <xf numFmtId="164" fontId="0" fillId="0" borderId="0" xfId="1" applyNumberFormat="1" applyFont="1" applyFill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6" fillId="0" borderId="0" xfId="1" applyNumberFormat="1" applyFont="1"/>
    <xf numFmtId="0" fontId="9" fillId="0" borderId="1" xfId="0" applyFont="1" applyBorder="1"/>
    <xf numFmtId="0" fontId="9" fillId="0" borderId="4" xfId="0" applyFont="1" applyBorder="1"/>
    <xf numFmtId="165" fontId="0" fillId="0" borderId="0" xfId="2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6" xfId="0" applyBorder="1" applyAlignment="1">
      <alignment horizontal="right"/>
    </xf>
    <xf numFmtId="165" fontId="0" fillId="0" borderId="7" xfId="2" applyNumberFormat="1" applyFon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9" fontId="0" fillId="0" borderId="0" xfId="2" applyFont="1" applyBorder="1" applyAlignment="1">
      <alignment horizontal="center"/>
    </xf>
    <xf numFmtId="164" fontId="7" fillId="0" borderId="0" xfId="0" applyNumberFormat="1" applyFont="1"/>
    <xf numFmtId="17" fontId="0" fillId="0" borderId="0" xfId="0" applyNumberFormat="1"/>
    <xf numFmtId="0" fontId="5" fillId="0" borderId="9" xfId="0" applyFont="1" applyBorder="1" applyAlignment="1">
      <alignment horizontal="center"/>
    </xf>
    <xf numFmtId="0" fontId="0" fillId="0" borderId="9" xfId="0" applyBorder="1"/>
    <xf numFmtId="164" fontId="0" fillId="0" borderId="9" xfId="1" applyNumberFormat="1" applyFont="1" applyBorder="1"/>
    <xf numFmtId="164" fontId="5" fillId="0" borderId="0" xfId="1" applyNumberFormat="1" applyFont="1"/>
    <xf numFmtId="0" fontId="10" fillId="0" borderId="0" xfId="0" applyFont="1"/>
    <xf numFmtId="9" fontId="8" fillId="0" borderId="0" xfId="2" applyFont="1"/>
    <xf numFmtId="0" fontId="11" fillId="0" borderId="0" xfId="0" applyFont="1"/>
    <xf numFmtId="9" fontId="11" fillId="0" borderId="0" xfId="2" applyFont="1"/>
    <xf numFmtId="0" fontId="8" fillId="0" borderId="0" xfId="0" applyFont="1"/>
    <xf numFmtId="0" fontId="10" fillId="0" borderId="0" xfId="0" applyFont="1" applyAlignment="1">
      <alignment horizontal="center"/>
    </xf>
    <xf numFmtId="164" fontId="10" fillId="0" borderId="0" xfId="0" applyNumberFormat="1" applyFont="1"/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9" fontId="8" fillId="0" borderId="0" xfId="2" applyFont="1" applyAlignment="1">
      <alignment horizontal="center" vertical="center"/>
    </xf>
    <xf numFmtId="164" fontId="10" fillId="0" borderId="0" xfId="1" applyNumberFormat="1" applyFont="1" applyAlignment="1">
      <alignment horizontal="center" vertical="center"/>
    </xf>
    <xf numFmtId="9" fontId="11" fillId="0" borderId="0" xfId="2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5" fillId="0" borderId="0" xfId="0" applyNumberFormat="1" applyFont="1" applyAlignment="1">
      <alignment vertical="center"/>
    </xf>
    <xf numFmtId="44" fontId="8" fillId="0" borderId="0" xfId="0" applyNumberFormat="1" applyFont="1"/>
    <xf numFmtId="164" fontId="12" fillId="2" borderId="0" xfId="1" applyNumberFormat="1" applyFont="1" applyFill="1" applyBorder="1"/>
    <xf numFmtId="164" fontId="12" fillId="0" borderId="0" xfId="1" applyNumberFormat="1" applyFont="1" applyFill="1" applyBorder="1"/>
    <xf numFmtId="0" fontId="5" fillId="0" borderId="4" xfId="0" applyFont="1" applyBorder="1"/>
    <xf numFmtId="164" fontId="0" fillId="0" borderId="4" xfId="0" applyNumberFormat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1" applyNumberFormat="1" applyFont="1" applyFill="1" applyBorder="1"/>
    <xf numFmtId="0" fontId="12" fillId="3" borderId="0" xfId="0" applyFont="1" applyFill="1"/>
    <xf numFmtId="0" fontId="12" fillId="3" borderId="5" xfId="0" applyFont="1" applyFill="1" applyBorder="1"/>
    <xf numFmtId="164" fontId="0" fillId="3" borderId="5" xfId="1" applyNumberFormat="1" applyFont="1" applyFill="1" applyBorder="1"/>
    <xf numFmtId="0" fontId="0" fillId="3" borderId="0" xfId="0" applyFill="1"/>
    <xf numFmtId="164" fontId="12" fillId="3" borderId="0" xfId="1" applyNumberFormat="1" applyFont="1" applyFill="1" applyBorder="1"/>
    <xf numFmtId="164" fontId="12" fillId="3" borderId="5" xfId="1" applyNumberFormat="1" applyFont="1" applyFill="1" applyBorder="1"/>
    <xf numFmtId="0" fontId="0" fillId="3" borderId="6" xfId="0" applyFill="1" applyBorder="1"/>
    <xf numFmtId="0" fontId="12" fillId="3" borderId="6" xfId="0" applyFont="1" applyFill="1" applyBorder="1"/>
    <xf numFmtId="164" fontId="12" fillId="3" borderId="7" xfId="0" applyNumberFormat="1" applyFont="1" applyFill="1" applyBorder="1"/>
    <xf numFmtId="0" fontId="12" fillId="3" borderId="7" xfId="0" applyFont="1" applyFill="1" applyBorder="1"/>
    <xf numFmtId="0" fontId="12" fillId="3" borderId="8" xfId="0" applyFont="1" applyFill="1" applyBorder="1"/>
    <xf numFmtId="0" fontId="0" fillId="3" borderId="7" xfId="0" applyFill="1" applyBorder="1"/>
    <xf numFmtId="164" fontId="0" fillId="3" borderId="8" xfId="0" applyNumberFormat="1" applyFill="1" applyBorder="1"/>
    <xf numFmtId="0" fontId="4" fillId="4" borderId="1" xfId="0" applyFont="1" applyFill="1" applyBorder="1" applyAlignment="1">
      <alignment horizontal="center"/>
    </xf>
    <xf numFmtId="44" fontId="0" fillId="0" borderId="0" xfId="0" applyNumberFormat="1"/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/>
    <xf numFmtId="164" fontId="0" fillId="5" borderId="0" xfId="1" applyNumberFormat="1" applyFont="1" applyFill="1" applyBorder="1"/>
    <xf numFmtId="164" fontId="0" fillId="5" borderId="5" xfId="1" applyNumberFormat="1" applyFont="1" applyFill="1" applyBorder="1"/>
    <xf numFmtId="0" fontId="0" fillId="5" borderId="0" xfId="0" applyFill="1"/>
    <xf numFmtId="0" fontId="0" fillId="5" borderId="5" xfId="0" applyFill="1" applyBorder="1"/>
    <xf numFmtId="164" fontId="12" fillId="5" borderId="0" xfId="1" applyNumberFormat="1" applyFont="1" applyFill="1" applyBorder="1"/>
    <xf numFmtId="164" fontId="12" fillId="5" borderId="5" xfId="1" applyNumberFormat="1" applyFont="1" applyFill="1" applyBorder="1"/>
    <xf numFmtId="0" fontId="0" fillId="5" borderId="6" xfId="0" applyFill="1" applyBorder="1"/>
    <xf numFmtId="164" fontId="0" fillId="5" borderId="7" xfId="0" applyNumberFormat="1" applyFill="1" applyBorder="1"/>
    <xf numFmtId="164" fontId="0" fillId="5" borderId="8" xfId="0" applyNumberFormat="1" applyFill="1" applyBorder="1"/>
    <xf numFmtId="0" fontId="0" fillId="5" borderId="7" xfId="0" applyFill="1" applyBorder="1"/>
    <xf numFmtId="0" fontId="0" fillId="5" borderId="8" xfId="0" applyFill="1" applyBorder="1"/>
    <xf numFmtId="0" fontId="14" fillId="3" borderId="4" xfId="0" applyFont="1" applyFill="1" applyBorder="1"/>
    <xf numFmtId="0" fontId="6" fillId="5" borderId="4" xfId="0" applyFont="1" applyFill="1" applyBorder="1"/>
    <xf numFmtId="0" fontId="6" fillId="3" borderId="4" xfId="0" applyFont="1" applyFill="1" applyBorder="1"/>
    <xf numFmtId="0" fontId="6" fillId="0" borderId="4" xfId="0" applyFont="1" applyBorder="1"/>
    <xf numFmtId="0" fontId="1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2" fillId="0" borderId="4" xfId="0" applyFont="1" applyBorder="1"/>
    <xf numFmtId="0" fontId="12" fillId="0" borderId="0" xfId="0" applyFont="1"/>
    <xf numFmtId="0" fontId="12" fillId="0" borderId="5" xfId="0" applyFont="1" applyBorder="1"/>
    <xf numFmtId="164" fontId="0" fillId="0" borderId="0" xfId="1" applyNumberFormat="1" applyFont="1" applyFill="1" applyBorder="1"/>
    <xf numFmtId="9" fontId="0" fillId="0" borderId="5" xfId="2" applyFont="1" applyFill="1" applyBorder="1"/>
    <xf numFmtId="164" fontId="12" fillId="0" borderId="5" xfId="1" applyNumberFormat="1" applyFont="1" applyFill="1" applyBorder="1"/>
    <xf numFmtId="0" fontId="12" fillId="0" borderId="6" xfId="0" applyFont="1" applyBorder="1"/>
    <xf numFmtId="164" fontId="12" fillId="0" borderId="7" xfId="0" applyNumberFormat="1" applyFont="1" applyBorder="1"/>
    <xf numFmtId="164" fontId="12" fillId="0" borderId="8" xfId="0" applyNumberFormat="1" applyFont="1" applyBorder="1"/>
    <xf numFmtId="9" fontId="0" fillId="0" borderId="8" xfId="2" applyFont="1" applyFill="1" applyBorder="1"/>
    <xf numFmtId="164" fontId="0" fillId="0" borderId="5" xfId="1" applyNumberFormat="1" applyFont="1" applyFill="1" applyBorder="1"/>
    <xf numFmtId="164" fontId="0" fillId="0" borderId="8" xfId="0" applyNumberFormat="1" applyBorder="1"/>
    <xf numFmtId="0" fontId="5" fillId="0" borderId="5" xfId="0" applyFont="1" applyBorder="1" applyAlignment="1">
      <alignment horizontal="center"/>
    </xf>
    <xf numFmtId="9" fontId="0" fillId="0" borderId="0" xfId="2" applyFont="1" applyFill="1" applyBorder="1" applyAlignment="1">
      <alignment horizontal="center"/>
    </xf>
    <xf numFmtId="9" fontId="0" fillId="0" borderId="5" xfId="2" applyFont="1" applyFill="1" applyBorder="1" applyAlignment="1">
      <alignment horizontal="center"/>
    </xf>
    <xf numFmtId="165" fontId="0" fillId="0" borderId="0" xfId="2" applyNumberFormat="1" applyFont="1"/>
    <xf numFmtId="0" fontId="15" fillId="6" borderId="0" xfId="0" applyFont="1" applyFill="1" applyAlignment="1">
      <alignment horizontal="center" vertical="center" wrapText="1"/>
    </xf>
    <xf numFmtId="9" fontId="15" fillId="6" borderId="0" xfId="2" applyFont="1" applyFill="1" applyAlignment="1">
      <alignment horizontal="center" vertical="center" wrapText="1"/>
    </xf>
    <xf numFmtId="0" fontId="16" fillId="6" borderId="0" xfId="0" applyFont="1" applyFill="1" applyAlignment="1">
      <alignment horizontal="center" vertical="center" wrapText="1"/>
    </xf>
    <xf numFmtId="0" fontId="0" fillId="7" borderId="0" xfId="0" applyFill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5" fontId="11" fillId="0" borderId="0" xfId="0" applyNumberFormat="1" applyFont="1"/>
    <xf numFmtId="165" fontId="11" fillId="0" borderId="0" xfId="2" applyNumberFormat="1" applyFont="1"/>
    <xf numFmtId="10" fontId="11" fillId="0" borderId="0" xfId="0" applyNumberFormat="1" applyFont="1"/>
    <xf numFmtId="0" fontId="17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67" fontId="0" fillId="0" borderId="2" xfId="0" applyNumberFormat="1" applyBorder="1"/>
    <xf numFmtId="164" fontId="0" fillId="0" borderId="2" xfId="1" applyNumberFormat="1" applyFont="1" applyBorder="1"/>
    <xf numFmtId="165" fontId="0" fillId="0" borderId="2" xfId="2" applyNumberFormat="1" applyFont="1" applyBorder="1"/>
    <xf numFmtId="168" fontId="0" fillId="0" borderId="2" xfId="0" applyNumberFormat="1" applyBorder="1"/>
    <xf numFmtId="0" fontId="0" fillId="0" borderId="4" xfId="0" applyBorder="1" applyAlignment="1">
      <alignment horizontal="center"/>
    </xf>
    <xf numFmtId="167" fontId="0" fillId="0" borderId="0" xfId="0" applyNumberFormat="1"/>
    <xf numFmtId="164" fontId="0" fillId="0" borderId="0" xfId="1" applyNumberFormat="1" applyFont="1" applyBorder="1"/>
    <xf numFmtId="165" fontId="0" fillId="0" borderId="0" xfId="2" applyNumberFormat="1" applyFont="1" applyBorder="1"/>
    <xf numFmtId="168" fontId="0" fillId="0" borderId="0" xfId="0" applyNumberFormat="1"/>
    <xf numFmtId="10" fontId="0" fillId="0" borderId="0" xfId="0" applyNumberFormat="1"/>
    <xf numFmtId="165" fontId="6" fillId="0" borderId="0" xfId="2" applyNumberFormat="1" applyFont="1" applyBorder="1"/>
    <xf numFmtId="0" fontId="0" fillId="0" borderId="6" xfId="0" applyBorder="1" applyAlignment="1">
      <alignment horizontal="center"/>
    </xf>
    <xf numFmtId="167" fontId="0" fillId="0" borderId="7" xfId="0" applyNumberFormat="1" applyBorder="1"/>
    <xf numFmtId="164" fontId="0" fillId="0" borderId="7" xfId="1" applyNumberFormat="1" applyFont="1" applyBorder="1"/>
    <xf numFmtId="165" fontId="0" fillId="0" borderId="7" xfId="2" applyNumberFormat="1" applyFont="1" applyBorder="1"/>
    <xf numFmtId="168" fontId="0" fillId="0" borderId="7" xfId="0" applyNumberFormat="1" applyBorder="1"/>
    <xf numFmtId="9" fontId="0" fillId="0" borderId="0" xfId="2" applyFont="1" applyBorder="1"/>
    <xf numFmtId="0" fontId="0" fillId="0" borderId="1" xfId="0" applyBorder="1"/>
    <xf numFmtId="9" fontId="0" fillId="0" borderId="2" xfId="2" applyFont="1" applyBorder="1"/>
    <xf numFmtId="165" fontId="0" fillId="0" borderId="0" xfId="0" applyNumberFormat="1"/>
    <xf numFmtId="167" fontId="6" fillId="0" borderId="0" xfId="0" applyNumberFormat="1" applyFont="1"/>
    <xf numFmtId="0" fontId="0" fillId="0" borderId="10" xfId="0" applyBorder="1"/>
    <xf numFmtId="0" fontId="0" fillId="0" borderId="11" xfId="0" applyBorder="1"/>
    <xf numFmtId="167" fontId="0" fillId="0" borderId="11" xfId="0" applyNumberFormat="1" applyBorder="1"/>
    <xf numFmtId="164" fontId="0" fillId="0" borderId="11" xfId="1" applyNumberFormat="1" applyFont="1" applyBorder="1"/>
    <xf numFmtId="165" fontId="0" fillId="0" borderId="11" xfId="2" applyNumberFormat="1" applyFont="1" applyBorder="1"/>
    <xf numFmtId="168" fontId="0" fillId="0" borderId="11" xfId="0" applyNumberFormat="1" applyBorder="1"/>
    <xf numFmtId="0" fontId="0" fillId="0" borderId="12" xfId="0" applyBorder="1"/>
    <xf numFmtId="165" fontId="0" fillId="0" borderId="7" xfId="0" applyNumberFormat="1" applyBorder="1"/>
    <xf numFmtId="9" fontId="0" fillId="0" borderId="7" xfId="2" applyFont="1" applyBorder="1"/>
    <xf numFmtId="167" fontId="0" fillId="0" borderId="2" xfId="2" applyNumberFormat="1" applyFont="1" applyBorder="1"/>
    <xf numFmtId="167" fontId="0" fillId="0" borderId="0" xfId="2" applyNumberFormat="1" applyFont="1" applyBorder="1"/>
    <xf numFmtId="167" fontId="0" fillId="0" borderId="7" xfId="2" applyNumberFormat="1" applyFont="1" applyBorder="1"/>
    <xf numFmtId="0" fontId="15" fillId="6" borderId="0" xfId="0" applyFont="1" applyFill="1" applyAlignment="1">
      <alignment horizontal="center" vertical="center" shrinkToFit="1"/>
    </xf>
    <xf numFmtId="0" fontId="0" fillId="0" borderId="2" xfId="0" applyBorder="1" applyAlignment="1">
      <alignment shrinkToFit="1"/>
    </xf>
    <xf numFmtId="0" fontId="0" fillId="0" borderId="0" xfId="0" applyAlignment="1">
      <alignment shrinkToFit="1"/>
    </xf>
    <xf numFmtId="0" fontId="0" fillId="0" borderId="7" xfId="0" applyBorder="1" applyAlignment="1">
      <alignment shrinkToFit="1"/>
    </xf>
    <xf numFmtId="0" fontId="0" fillId="0" borderId="11" xfId="0" applyBorder="1" applyAlignment="1">
      <alignment shrinkToFit="1"/>
    </xf>
    <xf numFmtId="0" fontId="6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1">
    <dxf>
      <numFmt numFmtId="166" formatCode="0.0"/>
    </dxf>
  </dxfs>
  <tableStyles count="0" defaultTableStyle="TableStyleMedium2" defaultPivotStyle="PivotStyleLight16"/>
  <colors>
    <mruColors>
      <color rgb="FF710480"/>
      <color rgb="FFC64242"/>
      <color rgb="FFFFCCFF"/>
      <color rgb="FFFDE9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and dividend overview.xlsx]Breakdown dashboard!PivotTable1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71048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782608695652174E-2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2.4877781581650119E-2"/>
          <c:y val="0.1392832871627615"/>
          <c:w val="0.6891601506333449"/>
          <c:h val="0.68677138061381859"/>
        </c:manualLayout>
      </c:layout>
      <c:doughnutChart>
        <c:varyColors val="1"/>
        <c:ser>
          <c:idx val="0"/>
          <c:order val="0"/>
          <c:tx>
            <c:strRef>
              <c:f>'Breakdown dashboard'!$B$2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C95-4D78-9FBB-F46FF7F6E285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95-4D78-9FBB-F46FF7F6E285}"/>
              </c:ext>
            </c:extLst>
          </c:dPt>
          <c:dPt>
            <c:idx val="2"/>
            <c:bubble3D val="0"/>
            <c:spPr>
              <a:solidFill>
                <a:srgbClr val="7104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95-4D78-9FBB-F46FF7F6E285}"/>
              </c:ext>
            </c:extLst>
          </c:dPt>
          <c:dPt>
            <c:idx val="3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C95-4D78-9FBB-F46FF7F6E285}"/>
              </c:ext>
            </c:extLst>
          </c:dPt>
          <c:dLbls>
            <c:dLbl>
              <c:idx val="1"/>
              <c:layout>
                <c:manualLayout>
                  <c:x val="-2.782608695652174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C95-4D78-9FBB-F46FF7F6E28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'Breakdown dashboard'!$A$3:$A$7</c:f>
              <c:strCache>
                <c:ptCount val="4"/>
                <c:pt idx="0">
                  <c:v>Canada</c:v>
                </c:pt>
                <c:pt idx="1">
                  <c:v>Global</c:v>
                </c:pt>
                <c:pt idx="2">
                  <c:v>North America</c:v>
                </c:pt>
                <c:pt idx="3">
                  <c:v>USA</c:v>
                </c:pt>
              </c:strCache>
            </c:strRef>
          </c:cat>
          <c:val>
            <c:numRef>
              <c:f>'Breakdown dashboard'!$B$3:$B$7</c:f>
              <c:numCache>
                <c:formatCode>_-"$"* #,##0_-;\-"$"* #,##0_-;_-"$"* "-"??_-;_-@_-</c:formatCode>
                <c:ptCount val="4"/>
                <c:pt idx="0">
                  <c:v>231499.424</c:v>
                </c:pt>
                <c:pt idx="1">
                  <c:v>223973.87193999998</c:v>
                </c:pt>
                <c:pt idx="2">
                  <c:v>105482.8477</c:v>
                </c:pt>
                <c:pt idx="3">
                  <c:v>210129.33571999997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5-4D78-9FBB-F46FF7F6E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and dividend overview.xlsx]Breakdown dashboard!PivotTable3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FFCCF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7008893305812499E-2"/>
              <c:y val="-3.46620616377185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4984838060291023E-2"/>
              <c:y val="-6.23195637939346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2284100080710247E-2"/>
              <c:y val="-3.11553397608371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0536401396427393E-2"/>
              <c:y val="-2.08152737711208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165456012913639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'Breakdown dashboard'!$F$1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510-4EDA-999D-592796C8DD49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D6-48EC-96B3-BFCF80B4FB4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D6-48EC-96B3-BFCF80B4FB4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D6-48EC-96B3-BFCF80B4FB45}"/>
              </c:ext>
            </c:extLst>
          </c:dPt>
          <c:dPt>
            <c:idx val="4"/>
            <c:bubble3D val="0"/>
            <c:spPr>
              <a:solidFill>
                <a:srgbClr val="FFCC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10-4EDA-999D-592796C8DD4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510-4EDA-999D-592796C8DD4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D510-4EDA-999D-592796C8DD4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510-4EDA-999D-592796C8DD4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10-4EDA-999D-592796C8DD4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510-4EDA-999D-592796C8DD4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510-4EDA-999D-592796C8DD4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510-4EDA-999D-592796C8DD4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510-4EDA-999D-592796C8DD49}"/>
              </c:ext>
            </c:extLst>
          </c:dPt>
          <c:dLbls>
            <c:dLbl>
              <c:idx val="4"/>
              <c:layout>
                <c:manualLayout>
                  <c:x val="-9.7008893305812499E-2"/>
                  <c:y val="-3.466206163771853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510-4EDA-999D-592796C8DD49}"/>
                </c:ext>
              </c:extLst>
            </c:dLbl>
            <c:dLbl>
              <c:idx val="5"/>
              <c:layout>
                <c:manualLayout>
                  <c:x val="-5.4984838060291023E-2"/>
                  <c:y val="-6.23195637939346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510-4EDA-999D-592796C8DD49}"/>
                </c:ext>
              </c:extLst>
            </c:dLbl>
            <c:dLbl>
              <c:idx val="6"/>
              <c:layout>
                <c:manualLayout>
                  <c:x val="-9.0536401396427393E-2"/>
                  <c:y val="-2.081527377112087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510-4EDA-999D-592796C8DD4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510-4EDA-999D-592796C8DD49}"/>
                </c:ext>
              </c:extLst>
            </c:dLbl>
            <c:dLbl>
              <c:idx val="8"/>
              <c:layout>
                <c:manualLayout>
                  <c:x val="-3.2284100080710247E-2"/>
                  <c:y val="-3.115533976083711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510-4EDA-999D-592796C8DD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'Breakdown dashboard'!$E$2:$E$12</c:f>
              <c:strCache>
                <c:ptCount val="10"/>
                <c:pt idx="0">
                  <c:v>Mix</c:v>
                </c:pt>
                <c:pt idx="1">
                  <c:v>Banking</c:v>
                </c:pt>
                <c:pt idx="2">
                  <c:v>IT</c:v>
                </c:pt>
                <c:pt idx="3">
                  <c:v>S&amp;P</c:v>
                </c:pt>
                <c:pt idx="4">
                  <c:v>Finance</c:v>
                </c:pt>
                <c:pt idx="5">
                  <c:v>Insurance</c:v>
                </c:pt>
                <c:pt idx="6">
                  <c:v>Utility</c:v>
                </c:pt>
                <c:pt idx="7">
                  <c:v>Bitcoin</c:v>
                </c:pt>
                <c:pt idx="8">
                  <c:v>Bond</c:v>
                </c:pt>
                <c:pt idx="9">
                  <c:v>Gold</c:v>
                </c:pt>
              </c:strCache>
            </c:strRef>
          </c:cat>
          <c:val>
            <c:numRef>
              <c:f>'Breakdown dashboard'!$F$2:$F$12</c:f>
              <c:numCache>
                <c:formatCode>0.0</c:formatCode>
                <c:ptCount val="10"/>
                <c:pt idx="0">
                  <c:v>290760.32299999997</c:v>
                </c:pt>
                <c:pt idx="1">
                  <c:v>168149</c:v>
                </c:pt>
                <c:pt idx="2">
                  <c:v>118895.51692000001</c:v>
                </c:pt>
                <c:pt idx="3">
                  <c:v>51557</c:v>
                </c:pt>
                <c:pt idx="4">
                  <c:v>32254</c:v>
                </c:pt>
                <c:pt idx="5">
                  <c:v>28217</c:v>
                </c:pt>
                <c:pt idx="6">
                  <c:v>8556</c:v>
                </c:pt>
                <c:pt idx="7">
                  <c:v>5831</c:v>
                </c:pt>
                <c:pt idx="8">
                  <c:v>4451.3209999999999</c:v>
                </c:pt>
                <c:pt idx="9">
                  <c:v>1524.4250000000002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10-4EDA-999D-592796C8D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25568891267233"/>
          <c:y val="3.3523826862682619E-2"/>
          <c:w val="0.25584639298728434"/>
          <c:h val="0.960842132188890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and dividend overview.xlsx]Breakdown dashboard!PivotTable4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5863594577608479E-2"/>
          <c:y val="7.9941028189315297E-2"/>
          <c:w val="0.71137081738601382"/>
          <c:h val="0.81573832136565361"/>
        </c:manualLayout>
      </c:layout>
      <c:doughnutChart>
        <c:varyColors val="1"/>
        <c:ser>
          <c:idx val="0"/>
          <c:order val="0"/>
          <c:tx>
            <c:strRef>
              <c:f>'Breakdown dashboard'!$K$1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92-4F9B-B7C9-A82A7AE9D9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DC-4FBE-A983-ECE09D9E6FE9}"/>
              </c:ext>
            </c:extLst>
          </c:dPt>
          <c:dPt>
            <c:idx val="2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1DC-4FBE-A983-ECE09D9E6FE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'Breakdown dashboard'!$J$2:$J$5</c:f>
              <c:strCache>
                <c:ptCount val="3"/>
                <c:pt idx="0">
                  <c:v>Dividend</c:v>
                </c:pt>
                <c:pt idx="1">
                  <c:v>Growth</c:v>
                </c:pt>
                <c:pt idx="2">
                  <c:v>Mix</c:v>
                </c:pt>
              </c:strCache>
            </c:strRef>
          </c:cat>
          <c:val>
            <c:numRef>
              <c:f>'Breakdown dashboard'!$K$2:$K$5</c:f>
              <c:numCache>
                <c:formatCode>General</c:formatCode>
                <c:ptCount val="3"/>
                <c:pt idx="0">
                  <c:v>55268</c:v>
                </c:pt>
                <c:pt idx="1">
                  <c:v>375917.47936</c:v>
                </c:pt>
                <c:pt idx="2">
                  <c:v>339900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DC-4FBE-A983-ECE09D9E6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and dividend overview.xlsx]Breakdown dashboard!PivotTable5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1.5847682825870981E-2"/>
          <c:y val="0.10681597488775715"/>
          <c:w val="0.78393694920905477"/>
          <c:h val="0.78292422804827733"/>
        </c:manualLayout>
      </c:layout>
      <c:doughnutChart>
        <c:varyColors val="1"/>
        <c:ser>
          <c:idx val="0"/>
          <c:order val="0"/>
          <c:tx>
            <c:strRef>
              <c:f>'Breakdown dashboard'!$B$18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6C-4DEA-87E8-B4AA31DA41CA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76C-4DEA-87E8-B4AA31DA41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AA1-4862-B7AA-EA5ED771A03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'Breakdown dashboard'!$A$19:$A$22</c:f>
              <c:strCache>
                <c:ptCount val="3"/>
                <c:pt idx="0">
                  <c:v>Company</c:v>
                </c:pt>
                <c:pt idx="1">
                  <c:v>ETF</c:v>
                </c:pt>
                <c:pt idx="2">
                  <c:v>Fund</c:v>
                </c:pt>
              </c:strCache>
            </c:strRef>
          </c:cat>
          <c:val>
            <c:numRef>
              <c:f>'Breakdown dashboard'!$B$19:$B$22</c:f>
              <c:numCache>
                <c:formatCode>General</c:formatCode>
                <c:ptCount val="3"/>
                <c:pt idx="0">
                  <c:v>191230.80544</c:v>
                </c:pt>
                <c:pt idx="1">
                  <c:v>482171.58591999992</c:v>
                </c:pt>
                <c:pt idx="2">
                  <c:v>97683.088000000003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6C-4DEA-87E8-B4AA31DA4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and dividend overview.xlsx]Breakdown dashboard!PivotTable6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3260101349401007E-2"/>
          <c:y val="0.10578178239272371"/>
          <c:w val="0.74939217436306671"/>
          <c:h val="0.80946139946245621"/>
        </c:manualLayout>
      </c:layout>
      <c:doughnutChart>
        <c:varyColors val="1"/>
        <c:ser>
          <c:idx val="0"/>
          <c:order val="0"/>
          <c:tx>
            <c:strRef>
              <c:f>'Breakdown dashboard'!$F$17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A3A-4994-B17E-26C0CA640B16}"/>
              </c:ext>
            </c:extLst>
          </c:dPt>
          <c:dPt>
            <c:idx val="1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3A-4994-B17E-26C0CA640B1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'Breakdown dashboard'!$E$18:$E$20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'Breakdown dashboard'!$F$18:$F$20</c:f>
              <c:numCache>
                <c:formatCode>General</c:formatCode>
                <c:ptCount val="2"/>
                <c:pt idx="0">
                  <c:v>573235.47936</c:v>
                </c:pt>
                <c:pt idx="1">
                  <c:v>197850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A-4994-B17E-26C0CA640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and dividend overview.xlsx]Breakdown dashboard!PivotTable7</c:name>
    <c:fmtId val="3"/>
  </c:pivotSource>
  <c:chart>
    <c:autoTitleDeleted val="1"/>
    <c:pivotFmts>
      <c:pivotFmt>
        <c:idx val="0"/>
        <c:spPr>
          <a:solidFill>
            <a:srgbClr val="C6424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C6424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7503572304031474E-2"/>
          <c:y val="9.9879794858698398E-2"/>
          <c:w val="0.73490933223324306"/>
          <c:h val="0.84567536686234857"/>
        </c:manualLayout>
      </c:layout>
      <c:doughnutChart>
        <c:varyColors val="1"/>
        <c:ser>
          <c:idx val="0"/>
          <c:order val="0"/>
          <c:tx>
            <c:strRef>
              <c:f>'Breakdown dashboard'!$K$17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64242"/>
            </a:solidFill>
          </c:spPr>
          <c:dPt>
            <c:idx val="0"/>
            <c:bubble3D val="0"/>
            <c:spPr>
              <a:solidFill>
                <a:srgbClr val="C6424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C8-4CD5-B0FE-AA960C71BA0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473-4E63-BE42-7A3063B6C62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'Breakdown dashboard'!$J$18:$J$20</c:f>
              <c:strCache>
                <c:ptCount val="2"/>
                <c:pt idx="0">
                  <c:v>CAD</c:v>
                </c:pt>
                <c:pt idx="1">
                  <c:v>USD</c:v>
                </c:pt>
              </c:strCache>
            </c:strRef>
          </c:cat>
          <c:val>
            <c:numRef>
              <c:f>'Breakdown dashboard'!$K$18:$K$20</c:f>
              <c:numCache>
                <c:formatCode>General</c:formatCode>
                <c:ptCount val="2"/>
                <c:pt idx="0">
                  <c:v>663778.0689999999</c:v>
                </c:pt>
                <c:pt idx="1">
                  <c:v>107307.41036000001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3-4E63-BE42-7A3063B6C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1438275</xdr:colOff>
      <xdr:row>15</xdr:row>
      <xdr:rowOff>581025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31C5F4-456B-B7D7-D642-26B2889E4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1435101</xdr:colOff>
      <xdr:row>0</xdr:row>
      <xdr:rowOff>0</xdr:rowOff>
    </xdr:from>
    <xdr:to>
      <xdr:col>7</xdr:col>
      <xdr:colOff>457201</xdr:colOff>
      <xdr:row>16</xdr:row>
      <xdr:rowOff>1588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FDDAB9-73A2-56A4-A334-88CD5DA8B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460375</xdr:colOff>
      <xdr:row>0</xdr:row>
      <xdr:rowOff>0</xdr:rowOff>
    </xdr:from>
    <xdr:to>
      <xdr:col>13</xdr:col>
      <xdr:colOff>298451</xdr:colOff>
      <xdr:row>15</xdr:row>
      <xdr:rowOff>563563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2A50B5-1DE8-A062-D10A-35FC8D518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15</xdr:row>
      <xdr:rowOff>468312</xdr:rowOff>
    </xdr:from>
    <xdr:to>
      <xdr:col>2</xdr:col>
      <xdr:colOff>1466849</xdr:colOff>
      <xdr:row>34</xdr:row>
      <xdr:rowOff>257175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DA7F30-C2DA-1D5F-8143-D3CDDED2CC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15</xdr:row>
      <xdr:rowOff>569912</xdr:rowOff>
    </xdr:from>
    <xdr:to>
      <xdr:col>7</xdr:col>
      <xdr:colOff>469899</xdr:colOff>
      <xdr:row>34</xdr:row>
      <xdr:rowOff>298450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B64767-67AB-18B4-6F63-3C3632A1E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441325</xdr:colOff>
      <xdr:row>15</xdr:row>
      <xdr:rowOff>576262</xdr:rowOff>
    </xdr:from>
    <xdr:to>
      <xdr:col>13</xdr:col>
      <xdr:colOff>279400</xdr:colOff>
      <xdr:row>34</xdr:row>
      <xdr:rowOff>311150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0F63CB5-8522-B01B-AC56-246F597F2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e Amaral" refreshedDate="45735.752939004633" createdVersion="8" refreshedVersion="8" minRefreshableVersion="3" recordCount="47" xr:uid="{396437CD-AE7A-45C1-B857-1CB0C0B61C81}">
  <cacheSource type="worksheet">
    <worksheetSource ref="B1:S1048576" sheet="Breakdow stocks - 17Mar25"/>
  </cacheSource>
  <cacheFields count="18">
    <cacheField name="Account" numFmtId="0">
      <sharedItems containsBlank="1"/>
    </cacheField>
    <cacheField name="Stock" numFmtId="0">
      <sharedItems containsBlank="1"/>
    </cacheField>
    <cacheField name="Security type" numFmtId="0">
      <sharedItems containsBlank="1" count="4">
        <s v="ETF"/>
        <s v="Company"/>
        <s v="Fund"/>
        <m/>
      </sharedItems>
    </cacheField>
    <cacheField name="Strategy Type" numFmtId="0">
      <sharedItems containsBlank="1" count="6">
        <s v="Growth"/>
        <s v="Mix"/>
        <s v="Dividend"/>
        <m/>
        <s v="Groeth" u="1"/>
        <s v="Fund" u="1"/>
      </sharedItems>
    </cacheField>
    <cacheField name="Call" numFmtId="0">
      <sharedItems containsBlank="1" count="3">
        <s v="No"/>
        <s v="Yes"/>
        <m/>
      </sharedItems>
    </cacheField>
    <cacheField name="Sector" numFmtId="0">
      <sharedItems containsBlank="1" count="20">
        <s v="Bitcoin"/>
        <s v="Banking"/>
        <s v="Consumer Defensive"/>
        <s v="Cybersecurity"/>
        <s v="Asset Mgt"/>
        <s v="Energy"/>
        <s v="Finance"/>
        <s v="Insurance"/>
        <s v="Mix"/>
        <s v="IT"/>
        <s v="Utility"/>
        <s v="S&amp;P"/>
        <s v="Consumer Cyclical"/>
        <s v="Bond"/>
        <s v="Gold"/>
        <m/>
        <s v="Retail" u="1"/>
        <s v="Cybersecuirty" u="1"/>
        <s v="Investment" u="1"/>
        <s v="Real Estate" u="1"/>
      </sharedItems>
    </cacheField>
    <cacheField name="Market" numFmtId="0">
      <sharedItems containsBlank="1"/>
    </cacheField>
    <cacheField name="Currency" numFmtId="0">
      <sharedItems containsBlank="1" count="3">
        <s v="CAD"/>
        <s v="USD"/>
        <m/>
      </sharedItems>
    </cacheField>
    <cacheField name="Fund magt" numFmtId="0">
      <sharedItems containsBlank="1"/>
    </cacheField>
    <cacheField name="Mang fee" numFmtId="0">
      <sharedItems containsString="0" containsBlank="1" containsNumber="1" minValue="0" maxValue="1.41E-2"/>
    </cacheField>
    <cacheField name="Book cost" numFmtId="0">
      <sharedItems containsString="0" containsBlank="1" containsNumber="1" minValue="2146" maxValue="99028"/>
    </cacheField>
    <cacheField name="Market Value" numFmtId="0">
      <sharedItems containsString="0" containsBlank="1" containsNumber="1" minValue="1524.4250000000002" maxValue="771085.47936"/>
    </cacheField>
    <cacheField name="Profit/  loss" numFmtId="0">
      <sharedItems containsString="0" containsBlank="1" containsNumber="1" minValue="-2069" maxValue="50991.108200000002"/>
    </cacheField>
    <cacheField name="Yeld" numFmtId="0">
      <sharedItems containsString="0" containsBlank="1" containsNumber="1" minValue="0" maxValue="0.2079"/>
    </cacheField>
    <cacheField name="1 Year return" numFmtId="0">
      <sharedItems containsString="0" containsBlank="1" containsNumber="1" minValue="-0.1137" maxValue="14.41"/>
    </cacheField>
    <cacheField name="5 Year return" numFmtId="0">
      <sharedItems containsString="0" containsBlank="1" containsNumber="1" minValue="-0.33439999999999998" maxValue="2.3058000000000001"/>
    </cacheField>
    <cacheField name="Risk" numFmtId="0">
      <sharedItems containsBlank="1"/>
    </cacheField>
    <cacheField name="Volatiity/Stanrd deviation" numFmtId="0">
      <sharedItems containsBlank="1" containsMixedTypes="1" containsNumber="1" minValue="0.19789999999999999" maxValue="16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e Amaral" refreshedDate="45735.752941782404" createdVersion="8" refreshedVersion="8" minRefreshableVersion="3" recordCount="46" xr:uid="{1A803527-652E-4DF5-93F6-54832094F665}">
  <cacheSource type="worksheet">
    <worksheetSource ref="B1:S47" sheet="Breakdow stocks - 17Mar25"/>
  </cacheSource>
  <cacheFields count="18">
    <cacheField name="Account" numFmtId="0">
      <sharedItems containsBlank="1"/>
    </cacheField>
    <cacheField name="Stock" numFmtId="0">
      <sharedItems containsBlank="1"/>
    </cacheField>
    <cacheField name="Security type" numFmtId="0">
      <sharedItems containsBlank="1"/>
    </cacheField>
    <cacheField name="Strategy Type" numFmtId="0">
      <sharedItems containsBlank="1"/>
    </cacheField>
    <cacheField name="Call" numFmtId="0">
      <sharedItems containsBlank="1"/>
    </cacheField>
    <cacheField name="Sector" numFmtId="0">
      <sharedItems containsBlank="1"/>
    </cacheField>
    <cacheField name="Market" numFmtId="0">
      <sharedItems containsBlank="1" count="5">
        <s v="USA"/>
        <s v="Canada"/>
        <s v="Global"/>
        <s v="North America"/>
        <m/>
      </sharedItems>
    </cacheField>
    <cacheField name="Currency" numFmtId="0">
      <sharedItems containsBlank="1"/>
    </cacheField>
    <cacheField name="Fund magt" numFmtId="0">
      <sharedItems containsBlank="1"/>
    </cacheField>
    <cacheField name="Mang fee" numFmtId="0">
      <sharedItems containsString="0" containsBlank="1" containsNumber="1" minValue="0" maxValue="1.41E-2"/>
    </cacheField>
    <cacheField name="Book cost" numFmtId="0">
      <sharedItems containsString="0" containsBlank="1" containsNumber="1" minValue="2146" maxValue="99028"/>
    </cacheField>
    <cacheField name="Market Value" numFmtId="164">
      <sharedItems containsSemiMixedTypes="0" containsString="0" containsNumber="1" minValue="1524.4250000000002" maxValue="771085.47936"/>
    </cacheField>
    <cacheField name="Profit/  loss" numFmtId="0">
      <sharedItems containsString="0" containsBlank="1" containsNumber="1" minValue="-2069" maxValue="50991.108200000002"/>
    </cacheField>
    <cacheField name="Yeld" numFmtId="0">
      <sharedItems containsString="0" containsBlank="1" containsNumber="1" minValue="0" maxValue="0.2079"/>
    </cacheField>
    <cacheField name="1 Year return" numFmtId="0">
      <sharedItems containsString="0" containsBlank="1" containsNumber="1" minValue="-0.1137" maxValue="14.41"/>
    </cacheField>
    <cacheField name="5 Year return" numFmtId="0">
      <sharedItems containsString="0" containsBlank="1" containsNumber="1" minValue="-0.33439999999999998" maxValue="2.3058000000000001"/>
    </cacheField>
    <cacheField name="Risk" numFmtId="0">
      <sharedItems containsBlank="1"/>
    </cacheField>
    <cacheField name="Volatiity/Stanrd deviation" numFmtId="0">
      <sharedItems containsBlank="1" containsMixedTypes="1" containsNumber="1" minValue="0.19789999999999999" maxValue="16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WS Trade P"/>
    <s v="BTCC.B"/>
    <x v="0"/>
    <x v="0"/>
    <x v="0"/>
    <x v="0"/>
    <s v="USA"/>
    <x v="0"/>
    <m/>
    <n v="1.41E-2"/>
    <n v="2933"/>
    <n v="5831"/>
    <n v="2898"/>
    <n v="0"/>
    <n v="0.22339999999999999"/>
    <n v="0.59299999999999997"/>
    <s v="Extreme"/>
    <n v="0.62470000000000003"/>
  </r>
  <r>
    <s v="WS Trade P"/>
    <s v="CM"/>
    <x v="1"/>
    <x v="1"/>
    <x v="0"/>
    <x v="1"/>
    <s v="Canada"/>
    <x v="0"/>
    <s v="N/A"/>
    <n v="0"/>
    <n v="14915"/>
    <n v="16342"/>
    <n v="1427"/>
    <n v="4.6399999999999997E-2"/>
    <n v="0.20219999999999999"/>
    <n v="1.018"/>
    <m/>
    <m/>
  </r>
  <r>
    <s v="WS Trade P"/>
    <s v="Costco"/>
    <x v="1"/>
    <x v="0"/>
    <x v="0"/>
    <x v="2"/>
    <s v="Global"/>
    <x v="1"/>
    <m/>
    <n v="0"/>
    <n v="3415.7274400000001"/>
    <n v="4603.7439400000003"/>
    <n v="1188.0165000000002"/>
    <n v="5.0000000000000001E-3"/>
    <n v="0.2581"/>
    <n v="2.3058000000000001"/>
    <m/>
    <m/>
  </r>
  <r>
    <s v="WS Trade P"/>
    <s v="CYBR"/>
    <x v="0"/>
    <x v="0"/>
    <x v="0"/>
    <x v="3"/>
    <s v="Global"/>
    <x v="0"/>
    <m/>
    <n v="6.3E-3"/>
    <n v="2271"/>
    <n v="2953"/>
    <n v="682"/>
    <n v="2.3E-3"/>
    <n v="7.6300000000000007E-2"/>
    <n v="1.3402000000000001"/>
    <s v="Very Aggressive"/>
    <n v="0.2051"/>
  </r>
  <r>
    <s v="WS Trade P"/>
    <s v="DFN"/>
    <x v="1"/>
    <x v="2"/>
    <x v="0"/>
    <x v="4"/>
    <s v="Canada"/>
    <x v="0"/>
    <m/>
    <m/>
    <n v="5746"/>
    <n v="4227"/>
    <n v="-1519"/>
    <n v="0.2079"/>
    <n v="-1.8599999999999998E-2"/>
    <n v="7.2099999999999997E-2"/>
    <m/>
    <m/>
  </r>
  <r>
    <s v="WS Trade P"/>
    <s v="DOL"/>
    <x v="1"/>
    <x v="0"/>
    <x v="0"/>
    <x v="2"/>
    <s v="Canada"/>
    <x v="0"/>
    <m/>
    <n v="0"/>
    <n v="11937"/>
    <n v="14667"/>
    <n v="2730"/>
    <n v="2.3999999999999998E-3"/>
    <n v="0.42409999999999998"/>
    <n v="1.1323000000000001"/>
    <m/>
    <m/>
  </r>
  <r>
    <s v="WS Trade P"/>
    <s v="ENB"/>
    <x v="1"/>
    <x v="1"/>
    <x v="0"/>
    <x v="5"/>
    <s v="Canada"/>
    <x v="0"/>
    <m/>
    <n v="0"/>
    <n v="17490"/>
    <n v="23675"/>
    <n v="6185"/>
    <n v="5.9799999999999999E-2"/>
    <n v="0.25800000000000001"/>
    <n v="0.53129999999999999"/>
    <m/>
    <m/>
  </r>
  <r>
    <s v="WS Trade P"/>
    <s v="FIE"/>
    <x v="0"/>
    <x v="1"/>
    <x v="0"/>
    <x v="6"/>
    <s v="Canada"/>
    <x v="0"/>
    <s v="Active"/>
    <n v="8.0000000000000002E-3"/>
    <n v="9484"/>
    <n v="10378"/>
    <n v="894"/>
    <n v="5.9900000000000002E-2"/>
    <n v="0.1192"/>
    <n v="0.52"/>
    <s v="Aggressive"/>
    <n v="14.44"/>
  </r>
  <r>
    <s v="WS Trade P"/>
    <s v="FLI"/>
    <x v="0"/>
    <x v="1"/>
    <x v="1"/>
    <x v="7"/>
    <s v="North America"/>
    <x v="0"/>
    <m/>
    <m/>
    <n v="14561"/>
    <n v="16380"/>
    <n v="1819"/>
    <n v="6.2600000000000003E-2"/>
    <n v="7.9000000000000001E-2"/>
    <n v="0.51759999999999995"/>
    <m/>
    <m/>
  </r>
  <r>
    <s v="WS Trade P"/>
    <s v="GWO"/>
    <x v="1"/>
    <x v="1"/>
    <x v="0"/>
    <x v="7"/>
    <s v="Global"/>
    <x v="0"/>
    <m/>
    <n v="0"/>
    <n v="4277"/>
    <n v="7547"/>
    <n v="3270"/>
    <n v="4.3700000000000003E-2"/>
    <n v="0.20280000000000001"/>
    <n v="0.94340000000000002"/>
    <m/>
    <m/>
  </r>
  <r>
    <s v="WS Trade P"/>
    <s v="HDIV"/>
    <x v="0"/>
    <x v="2"/>
    <x v="1"/>
    <x v="8"/>
    <s v="North America"/>
    <x v="0"/>
    <s v="Passive"/>
    <m/>
    <n v="15551"/>
    <n v="16235"/>
    <n v="684"/>
    <n v="0.1197"/>
    <n v="3.2300000000000002E-2"/>
    <n v="2.5999999999999999E-2"/>
    <s v="Very Aggressive"/>
    <n v="0.19789999999999999"/>
  </r>
  <r>
    <s v="WS Trade P"/>
    <s v="HMAX"/>
    <x v="0"/>
    <x v="2"/>
    <x v="1"/>
    <x v="6"/>
    <s v="Canada"/>
    <x v="0"/>
    <s v="Active"/>
    <m/>
    <n v="11943"/>
    <n v="11024"/>
    <n v="-919"/>
    <n v="0.14879999999999999"/>
    <n v="-3.0300000000000001E-2"/>
    <n v="-0.15359999999999999"/>
    <m/>
    <m/>
  </r>
  <r>
    <s v="WS Trade P"/>
    <s v="HYLD"/>
    <x v="0"/>
    <x v="2"/>
    <x v="1"/>
    <x v="8"/>
    <s v="North America"/>
    <x v="0"/>
    <s v="Active"/>
    <m/>
    <n v="22543"/>
    <n v="23782"/>
    <n v="1239"/>
    <n v="0.1348"/>
    <n v="-4.07E-2"/>
    <n v="-0.2114"/>
    <m/>
    <m/>
  </r>
  <r>
    <s v="WS Trade P"/>
    <s v="RY"/>
    <x v="1"/>
    <x v="1"/>
    <x v="0"/>
    <x v="1"/>
    <s v="Canada"/>
    <x v="0"/>
    <s v="N/A"/>
    <n v="0"/>
    <n v="13556"/>
    <n v="14492"/>
    <n v="936"/>
    <n v="3.5799999999999998E-2"/>
    <n v="0.1789"/>
    <n v="0.99980000000000002"/>
    <m/>
    <m/>
  </r>
  <r>
    <s v="WS Trade P"/>
    <s v="TXF"/>
    <x v="0"/>
    <x v="1"/>
    <x v="1"/>
    <x v="9"/>
    <s v="North America"/>
    <x v="0"/>
    <s v="Active"/>
    <m/>
    <n v="26095"/>
    <n v="26956"/>
    <n v="861"/>
    <n v="0.10780000000000001"/>
    <n v="-0.1137"/>
    <n v="0.37569999999999998"/>
    <m/>
    <s v="High"/>
  </r>
  <r>
    <s v="WS Trade P"/>
    <s v="VGT"/>
    <x v="0"/>
    <x v="0"/>
    <x v="0"/>
    <x v="9"/>
    <s v="USA"/>
    <x v="1"/>
    <s v="Passive"/>
    <m/>
    <n v="36253.943520000001"/>
    <n v="87245.051720000003"/>
    <n v="50991.108200000002"/>
    <n v="6.7999999999999996E-3"/>
    <n v="5.0900000000000001E-2"/>
    <n v="1.7398"/>
    <m/>
    <s v="Normal"/>
  </r>
  <r>
    <s v="WS Trade P"/>
    <s v="XUT"/>
    <x v="0"/>
    <x v="1"/>
    <x v="0"/>
    <x v="10"/>
    <s v="North America"/>
    <x v="0"/>
    <s v="Passive"/>
    <m/>
    <n v="8532"/>
    <n v="8556"/>
    <n v="24"/>
    <n v="0.04"/>
    <n v="0.1244"/>
    <n v="0.2056"/>
    <m/>
    <s v="Stable"/>
  </r>
  <r>
    <s v="WS Trade P"/>
    <s v="ZSP"/>
    <x v="0"/>
    <x v="0"/>
    <x v="0"/>
    <x v="11"/>
    <s v="USA"/>
    <x v="0"/>
    <s v="Passive"/>
    <m/>
    <n v="23215"/>
    <n v="26016"/>
    <n v="2801"/>
    <n v="9.7999999999999997E-3"/>
    <n v="0.15240000000000001"/>
    <n v="1.2584"/>
    <m/>
    <s v="Normal"/>
  </r>
  <r>
    <s v="WS Trade P"/>
    <s v="ZWG"/>
    <x v="0"/>
    <x v="1"/>
    <x v="1"/>
    <x v="8"/>
    <s v="Global"/>
    <x v="0"/>
    <s v="Active"/>
    <m/>
    <n v="50732"/>
    <n v="52682"/>
    <n v="1950"/>
    <n v="6.4799999999999996E-2"/>
    <n v="5.8000000000000003E-2"/>
    <n v="0.22040000000000001"/>
    <m/>
    <s v="Normal"/>
  </r>
  <r>
    <s v="WS Trade P"/>
    <s v="ZWK"/>
    <x v="0"/>
    <x v="1"/>
    <x v="1"/>
    <x v="1"/>
    <s v="USA"/>
    <x v="0"/>
    <m/>
    <m/>
    <n v="31996"/>
    <n v="40356"/>
    <n v="8360"/>
    <n v="7.7699999999999991E-2"/>
    <n v="0.1255"/>
    <n v="0.1409"/>
    <m/>
    <s v="Normal"/>
  </r>
  <r>
    <s v="WS Trade S"/>
    <s v="CLM"/>
    <x v="2"/>
    <x v="0"/>
    <x v="0"/>
    <x v="4"/>
    <s v="Global"/>
    <x v="1"/>
    <s v="Active"/>
    <m/>
    <n v="6514.6504800000002"/>
    <n v="6336.0880000000006"/>
    <n v="-178.5624799999996"/>
    <n v="0.1724"/>
    <n v="4.71"/>
    <n v="8.5800000000000001E-2"/>
    <s v="Aggressive"/>
    <n v="16.7"/>
  </r>
  <r>
    <s v="WS Trade S"/>
    <s v="FIE"/>
    <x v="0"/>
    <x v="1"/>
    <x v="0"/>
    <x v="6"/>
    <s v="Canada"/>
    <x v="0"/>
    <s v="Active"/>
    <m/>
    <n v="10866"/>
    <n v="10852"/>
    <n v="-14"/>
    <n v="5.9900000000000002E-2"/>
    <n v="0.1192"/>
    <n v="0.52"/>
    <m/>
    <s v="Normal"/>
  </r>
  <r>
    <s v="WS Trade S"/>
    <s v="IGM"/>
    <x v="0"/>
    <x v="0"/>
    <x v="0"/>
    <x v="9"/>
    <s v="North America"/>
    <x v="1"/>
    <s v="Passive"/>
    <m/>
    <n v="2371.7129400000003"/>
    <n v="4694.4652000000006"/>
    <n v="2322.7522600000002"/>
    <n v="2.3999999999999998E-3"/>
    <n v="8.0399999999999999E-2"/>
    <n v="1.7770999999999999"/>
    <m/>
    <s v="Normal"/>
  </r>
  <r>
    <s v="WS Trade S"/>
    <s v="MFC"/>
    <x v="1"/>
    <x v="1"/>
    <x v="0"/>
    <x v="7"/>
    <s v="Global"/>
    <x v="0"/>
    <s v="N/A"/>
    <m/>
    <n v="2146"/>
    <n v="4290"/>
    <n v="2144"/>
    <n v="3.9800000000000002E-2"/>
    <n v="0.30420000000000003"/>
    <n v="1.3471"/>
    <m/>
    <s v="High"/>
  </r>
  <r>
    <s v="WS Trade S"/>
    <s v="TJX"/>
    <x v="1"/>
    <x v="0"/>
    <x v="0"/>
    <x v="12"/>
    <s v="North America"/>
    <x v="1"/>
    <s v="N/A"/>
    <n v="0"/>
    <n v="4302.7797600000004"/>
    <n v="4428.0614999999998"/>
    <n v="125.28173999999944"/>
    <n v="1.2999999999999999E-2"/>
    <n v="0.19750000000000001"/>
    <n v="1.9144000000000001"/>
    <m/>
    <m/>
  </r>
  <r>
    <s v="WS Trade S"/>
    <s v="VFV"/>
    <x v="0"/>
    <x v="0"/>
    <x v="0"/>
    <x v="11"/>
    <s v="USA"/>
    <x v="0"/>
    <s v="Passive"/>
    <m/>
    <n v="6681"/>
    <n v="7583"/>
    <n v="902"/>
    <n v="1.03E-2"/>
    <n v="0.15279999999999999"/>
    <n v="1.2643"/>
    <m/>
    <s v="Normal"/>
  </r>
  <r>
    <s v="WS Trade S"/>
    <s v="XHU"/>
    <x v="0"/>
    <x v="0"/>
    <x v="0"/>
    <x v="8"/>
    <s v="USA"/>
    <x v="0"/>
    <s v="Passive"/>
    <m/>
    <n v="7004"/>
    <n v="7335"/>
    <n v="331"/>
    <n v="2.7300000000000001E-2"/>
    <n v="0.16159999999999999"/>
    <n v="0.64780000000000004"/>
    <m/>
    <s v="Normal"/>
  </r>
  <r>
    <s v="WS Trade S"/>
    <s v="ZWG"/>
    <x v="0"/>
    <x v="1"/>
    <x v="1"/>
    <x v="8"/>
    <s v="Global"/>
    <x v="0"/>
    <s v="Active"/>
    <m/>
    <n v="10604"/>
    <n v="10435"/>
    <n v="-169"/>
    <n v="6.4799999999999996E-2"/>
    <n v="5.8000000000000003E-2"/>
    <n v="0.22040000000000001"/>
    <m/>
    <s v="Normal"/>
  </r>
  <r>
    <s v="WS TFSA"/>
    <s v="TILV"/>
    <x v="0"/>
    <x v="0"/>
    <x v="0"/>
    <x v="8"/>
    <s v="Global"/>
    <x v="0"/>
    <s v="Active"/>
    <n v="4.0000000000000001E-3"/>
    <n v="29997"/>
    <n v="30030"/>
    <n v="33"/>
    <n v="3.0499999999999999E-2"/>
    <n v="0.1772"/>
    <n v="0.50290000000000001"/>
    <m/>
    <s v="Low"/>
  </r>
  <r>
    <s v="WS TFSA"/>
    <s v="ZLN"/>
    <x v="0"/>
    <x v="0"/>
    <x v="0"/>
    <x v="8"/>
    <s v="Canada"/>
    <x v="0"/>
    <s v="Active"/>
    <n v="4.0000000000000001E-3"/>
    <n v="22039"/>
    <n v="22054"/>
    <n v="15"/>
    <n v="2.3E-2"/>
    <n v="0.1246"/>
    <n v="0.76039999999999996"/>
    <m/>
    <s v="Low"/>
  </r>
  <r>
    <s v="WS Spousal"/>
    <s v="VTI"/>
    <x v="0"/>
    <x v="0"/>
    <x v="0"/>
    <x v="8"/>
    <s v="USA"/>
    <x v="0"/>
    <s v="Active"/>
    <n v="4.0000000000000001E-3"/>
    <m/>
    <n v="17805.284"/>
    <m/>
    <n v="1.3300000000000001E-2"/>
    <n v="9.5200000000000007E-2"/>
    <n v="1.2851999999999999"/>
    <m/>
    <m/>
  </r>
  <r>
    <s v="WS Spousal"/>
    <s v="IEFA,EEMV,GLOV"/>
    <x v="0"/>
    <x v="0"/>
    <x v="0"/>
    <x v="8"/>
    <s v="Global"/>
    <x v="0"/>
    <s v="Active"/>
    <n v="4.0000000000000001E-3"/>
    <m/>
    <n v="30183.614999999998"/>
    <m/>
    <m/>
    <m/>
    <m/>
    <m/>
    <m/>
  </r>
  <r>
    <s v="WS Spousal"/>
    <s v="QCN"/>
    <x v="0"/>
    <x v="0"/>
    <x v="0"/>
    <x v="8"/>
    <s v="Canada"/>
    <x v="0"/>
    <s v="Active"/>
    <n v="4.4000000000000003E-3"/>
    <m/>
    <n v="6829.424"/>
    <m/>
    <n v="2.75E-2"/>
    <n v="14.41"/>
    <n v="0.95350000000000001"/>
    <m/>
    <m/>
  </r>
  <r>
    <s v="WS Spousal"/>
    <s v="ZFL"/>
    <x v="0"/>
    <x v="0"/>
    <x v="0"/>
    <x v="13"/>
    <s v="North America"/>
    <x v="0"/>
    <s v="Active"/>
    <n v="6.2000000000000006E-3"/>
    <m/>
    <n v="4451.3209999999999"/>
    <m/>
    <n v="3.0700000000000002E-2"/>
    <n v="3.8899999999999997E-2"/>
    <n v="-0.33439999999999998"/>
    <m/>
    <m/>
  </r>
  <r>
    <s v="WS Spousal"/>
    <s v="GLDM"/>
    <x v="0"/>
    <x v="0"/>
    <x v="0"/>
    <x v="14"/>
    <s v="Global"/>
    <x v="0"/>
    <s v="Active"/>
    <n v="5.0000000000000001E-3"/>
    <m/>
    <n v="1524.4250000000002"/>
    <m/>
    <n v="0"/>
    <n v="0.38750000000000001"/>
    <n v="1.0013000000000001"/>
    <m/>
    <m/>
  </r>
  <r>
    <s v="BNS ESOP"/>
    <s v="BNS"/>
    <x v="1"/>
    <x v="1"/>
    <x v="0"/>
    <x v="1"/>
    <s v="Canada"/>
    <x v="0"/>
    <s v="N/A"/>
    <n v="0"/>
    <n v="99028"/>
    <n v="96959"/>
    <n v="-2069"/>
    <n v="6.1399999999999996E-2"/>
    <n v="1.5299999999999999E-2"/>
    <n v="0.29160000000000003"/>
    <m/>
    <s v="Normal"/>
  </r>
  <r>
    <s v="Canada Life RRS P"/>
    <s v="BR LP 2040"/>
    <x v="2"/>
    <x v="0"/>
    <x v="0"/>
    <x v="8"/>
    <s v="Global"/>
    <x v="0"/>
    <m/>
    <n v="8.4000000000000003E-4"/>
    <m/>
    <n v="22713"/>
    <m/>
    <m/>
    <n v="0.1976"/>
    <n v="0.44400000000000006"/>
    <m/>
    <s v="Normal"/>
  </r>
  <r>
    <s v="Canada Life RRS P"/>
    <s v="BR LP 2060"/>
    <x v="2"/>
    <x v="0"/>
    <x v="0"/>
    <x v="8"/>
    <s v="Global"/>
    <x v="0"/>
    <m/>
    <n v="8.8999999999999995E-4"/>
    <m/>
    <n v="7480"/>
    <m/>
    <m/>
    <n v="0.25"/>
    <n v="0.54749999999999999"/>
    <m/>
    <s v="Normal"/>
  </r>
  <r>
    <s v="Canada Life RRS P"/>
    <s v="US Equity index"/>
    <x v="2"/>
    <x v="0"/>
    <x v="0"/>
    <x v="11"/>
    <s v="USA"/>
    <x v="0"/>
    <s v="Passive"/>
    <n v="5.2999999999999998E-4"/>
    <m/>
    <n v="7976"/>
    <m/>
    <m/>
    <n v="0.35930000000000001"/>
    <n v="0.8284999999999999"/>
    <m/>
    <s v="Normal"/>
  </r>
  <r>
    <s v="Canada Life RRS P"/>
    <s v="Int'l Equity"/>
    <x v="2"/>
    <x v="0"/>
    <x v="0"/>
    <x v="8"/>
    <s v="Global"/>
    <x v="0"/>
    <m/>
    <n v="6.3000000000000003E-4"/>
    <m/>
    <n v="4813"/>
    <m/>
    <m/>
    <n v="0.13420000000000001"/>
    <n v="0.44850000000000001"/>
    <m/>
    <s v="Normal"/>
  </r>
  <r>
    <s v="Canada Life RRS P"/>
    <s v="Int'l Equity Index"/>
    <x v="2"/>
    <x v="0"/>
    <x v="0"/>
    <x v="8"/>
    <s v="Global"/>
    <x v="0"/>
    <s v="Passive"/>
    <n v="6.3000000000000003E-4"/>
    <m/>
    <n v="2741"/>
    <m/>
    <m/>
    <n v="0.13189999999999999"/>
    <n v="0.34599999999999997"/>
    <m/>
    <s v="Normal"/>
  </r>
  <r>
    <s v="Canada Life DPSP P"/>
    <s v="BR LP 2040"/>
    <x v="2"/>
    <x v="0"/>
    <x v="0"/>
    <x v="8"/>
    <s v="Global"/>
    <x v="0"/>
    <m/>
    <n v="8.4000000000000003E-4"/>
    <m/>
    <n v="23779"/>
    <m/>
    <m/>
    <n v="0.1976"/>
    <n v="0.44400000000000006"/>
    <m/>
    <s v="Normal"/>
  </r>
  <r>
    <s v="Canada Life DPSP P"/>
    <s v="BR LP 2060"/>
    <x v="2"/>
    <x v="0"/>
    <x v="0"/>
    <x v="8"/>
    <s v="Global"/>
    <x v="0"/>
    <m/>
    <n v="8.8999999999999995E-4"/>
    <m/>
    <n v="4623"/>
    <m/>
    <m/>
    <n v="0.25"/>
    <n v="0.54749999999999999"/>
    <m/>
    <s v="Normal"/>
  </r>
  <r>
    <s v="Canada Life DPSP P"/>
    <s v="US Equity index"/>
    <x v="2"/>
    <x v="0"/>
    <x v="0"/>
    <x v="11"/>
    <s v="USA"/>
    <x v="0"/>
    <s v="Passive"/>
    <n v="5.2999999999999998E-4"/>
    <m/>
    <n v="9982"/>
    <m/>
    <m/>
    <n v="0.35930000000000001"/>
    <n v="0.8284999999999999"/>
    <m/>
    <s v="Normal"/>
  </r>
  <r>
    <s v="Canada Life DPSP P"/>
    <s v="Int'l Equity Index"/>
    <x v="2"/>
    <x v="0"/>
    <x v="0"/>
    <x v="8"/>
    <s v="Global"/>
    <x v="0"/>
    <s v="Passive"/>
    <n v="6.3000000000000003E-4"/>
    <m/>
    <n v="7240"/>
    <m/>
    <m/>
    <n v="0.13189999999999999"/>
    <n v="0.34599999999999997"/>
    <m/>
    <s v="Normal"/>
  </r>
  <r>
    <m/>
    <m/>
    <x v="3"/>
    <x v="3"/>
    <x v="2"/>
    <x v="15"/>
    <m/>
    <x v="2"/>
    <m/>
    <m/>
    <m/>
    <n v="771085.47936"/>
    <m/>
    <m/>
    <m/>
    <m/>
    <m/>
    <m/>
  </r>
  <r>
    <m/>
    <m/>
    <x v="3"/>
    <x v="3"/>
    <x v="2"/>
    <x v="15"/>
    <m/>
    <x v="2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WS Trade P"/>
    <s v="BTCC.B"/>
    <s v="ETF"/>
    <s v="Growth"/>
    <s v="No"/>
    <s v="Bitcoin"/>
    <x v="0"/>
    <s v="CAD"/>
    <m/>
    <n v="1.41E-2"/>
    <n v="2933"/>
    <n v="5831"/>
    <n v="2898"/>
    <n v="0"/>
    <n v="0.22339999999999999"/>
    <n v="0.59299999999999997"/>
    <s v="Extreme"/>
    <n v="0.62470000000000003"/>
  </r>
  <r>
    <s v="WS Trade P"/>
    <s v="CM"/>
    <s v="Company"/>
    <s v="Mix"/>
    <s v="No"/>
    <s v="Banking"/>
    <x v="1"/>
    <s v="CAD"/>
    <s v="N/A"/>
    <n v="0"/>
    <n v="14915"/>
    <n v="16342"/>
    <n v="1427"/>
    <n v="4.6399999999999997E-2"/>
    <n v="0.20219999999999999"/>
    <n v="1.018"/>
    <m/>
    <m/>
  </r>
  <r>
    <s v="WS Trade P"/>
    <s v="Costco"/>
    <s v="Company"/>
    <s v="Growth"/>
    <s v="No"/>
    <s v="Consumer Defensive"/>
    <x v="2"/>
    <s v="USD"/>
    <m/>
    <n v="0"/>
    <n v="3415.7274400000001"/>
    <n v="4603.7439400000003"/>
    <n v="1188.0165000000002"/>
    <n v="5.0000000000000001E-3"/>
    <n v="0.2581"/>
    <n v="2.3058000000000001"/>
    <m/>
    <m/>
  </r>
  <r>
    <s v="WS Trade P"/>
    <s v="CYBR"/>
    <s v="ETF"/>
    <s v="Growth"/>
    <s v="No"/>
    <s v="Cybersecurity"/>
    <x v="2"/>
    <s v="CAD"/>
    <m/>
    <n v="6.3E-3"/>
    <n v="2271"/>
    <n v="2953"/>
    <n v="682"/>
    <n v="2.3E-3"/>
    <n v="7.6300000000000007E-2"/>
    <n v="1.3402000000000001"/>
    <s v="Very Aggressive"/>
    <n v="0.2051"/>
  </r>
  <r>
    <s v="WS Trade P"/>
    <s v="DFN"/>
    <s v="Company"/>
    <s v="Dividend"/>
    <s v="No"/>
    <s v="Asset Mgt"/>
    <x v="1"/>
    <s v="CAD"/>
    <m/>
    <m/>
    <n v="5746"/>
    <n v="4227"/>
    <n v="-1519"/>
    <n v="0.2079"/>
    <n v="-1.8599999999999998E-2"/>
    <n v="7.2099999999999997E-2"/>
    <m/>
    <m/>
  </r>
  <r>
    <s v="WS Trade P"/>
    <s v="DOL"/>
    <s v="Company"/>
    <s v="Growth"/>
    <s v="No"/>
    <s v="Consumer Defensive"/>
    <x v="1"/>
    <s v="CAD"/>
    <m/>
    <n v="0"/>
    <n v="11937"/>
    <n v="14667"/>
    <n v="2730"/>
    <n v="2.3999999999999998E-3"/>
    <n v="0.42409999999999998"/>
    <n v="1.1323000000000001"/>
    <m/>
    <m/>
  </r>
  <r>
    <s v="WS Trade P"/>
    <s v="ENB"/>
    <s v="Company"/>
    <s v="Mix"/>
    <s v="No"/>
    <s v="Energy"/>
    <x v="1"/>
    <s v="CAD"/>
    <m/>
    <n v="0"/>
    <n v="17490"/>
    <n v="23675"/>
    <n v="6185"/>
    <n v="5.9799999999999999E-2"/>
    <n v="0.25800000000000001"/>
    <n v="0.53129999999999999"/>
    <m/>
    <m/>
  </r>
  <r>
    <s v="WS Trade P"/>
    <s v="FIE"/>
    <s v="ETF"/>
    <s v="Mix"/>
    <s v="No"/>
    <s v="Finance"/>
    <x v="1"/>
    <s v="CAD"/>
    <s v="Active"/>
    <n v="8.0000000000000002E-3"/>
    <n v="9484"/>
    <n v="10378"/>
    <n v="894"/>
    <n v="5.9900000000000002E-2"/>
    <n v="0.1192"/>
    <n v="0.52"/>
    <s v="Aggressive"/>
    <n v="14.44"/>
  </r>
  <r>
    <s v="WS Trade P"/>
    <s v="FLI"/>
    <s v="ETF"/>
    <s v="Mix"/>
    <s v="Yes"/>
    <s v="Insurance"/>
    <x v="3"/>
    <s v="CAD"/>
    <m/>
    <m/>
    <n v="14561"/>
    <n v="16380"/>
    <n v="1819"/>
    <n v="6.2600000000000003E-2"/>
    <n v="7.9000000000000001E-2"/>
    <n v="0.51759999999999995"/>
    <m/>
    <m/>
  </r>
  <r>
    <s v="WS Trade P"/>
    <s v="GWO"/>
    <s v="Company"/>
    <s v="Mix"/>
    <s v="No"/>
    <s v="Insurance"/>
    <x v="2"/>
    <s v="CAD"/>
    <m/>
    <n v="0"/>
    <n v="4277"/>
    <n v="7547"/>
    <n v="3270"/>
    <n v="4.3700000000000003E-2"/>
    <n v="0.20280000000000001"/>
    <n v="0.94340000000000002"/>
    <m/>
    <m/>
  </r>
  <r>
    <s v="WS Trade P"/>
    <s v="HDIV"/>
    <s v="ETF"/>
    <s v="Dividend"/>
    <s v="Yes"/>
    <s v="Mix"/>
    <x v="3"/>
    <s v="CAD"/>
    <s v="Passive"/>
    <m/>
    <n v="15551"/>
    <n v="16235"/>
    <n v="684"/>
    <n v="0.1197"/>
    <n v="3.2300000000000002E-2"/>
    <n v="2.5999999999999999E-2"/>
    <s v="Very Aggressive"/>
    <n v="0.19789999999999999"/>
  </r>
  <r>
    <s v="WS Trade P"/>
    <s v="HMAX"/>
    <s v="ETF"/>
    <s v="Dividend"/>
    <s v="Yes"/>
    <s v="Finance"/>
    <x v="1"/>
    <s v="CAD"/>
    <s v="Active"/>
    <m/>
    <n v="11943"/>
    <n v="11024"/>
    <n v="-919"/>
    <n v="0.14879999999999999"/>
    <n v="-3.0300000000000001E-2"/>
    <n v="-0.15359999999999999"/>
    <m/>
    <m/>
  </r>
  <r>
    <s v="WS Trade P"/>
    <s v="HYLD"/>
    <s v="ETF"/>
    <s v="Dividend"/>
    <s v="Yes"/>
    <s v="Mix"/>
    <x v="3"/>
    <s v="CAD"/>
    <s v="Active"/>
    <m/>
    <n v="22543"/>
    <n v="23782"/>
    <n v="1239"/>
    <n v="0.1348"/>
    <n v="-4.07E-2"/>
    <n v="-0.2114"/>
    <m/>
    <m/>
  </r>
  <r>
    <s v="WS Trade P"/>
    <s v="RY"/>
    <s v="Company"/>
    <s v="Mix"/>
    <s v="No"/>
    <s v="Banking"/>
    <x v="1"/>
    <s v="CAD"/>
    <s v="N/A"/>
    <n v="0"/>
    <n v="13556"/>
    <n v="14492"/>
    <n v="936"/>
    <n v="3.5799999999999998E-2"/>
    <n v="0.1789"/>
    <n v="0.99980000000000002"/>
    <m/>
    <m/>
  </r>
  <r>
    <s v="WS Trade P"/>
    <s v="TXF"/>
    <s v="ETF"/>
    <s v="Mix"/>
    <s v="Yes"/>
    <s v="IT"/>
    <x v="3"/>
    <s v="CAD"/>
    <s v="Active"/>
    <m/>
    <n v="26095"/>
    <n v="26956"/>
    <n v="861"/>
    <n v="0.10780000000000001"/>
    <n v="-0.1137"/>
    <n v="0.37569999999999998"/>
    <m/>
    <s v="High"/>
  </r>
  <r>
    <s v="WS Trade P"/>
    <s v="VGT"/>
    <s v="ETF"/>
    <s v="Growth"/>
    <s v="No"/>
    <s v="IT"/>
    <x v="0"/>
    <s v="USD"/>
    <s v="Passive"/>
    <m/>
    <n v="36253.943520000001"/>
    <n v="87245.051720000003"/>
    <n v="50991.108200000002"/>
    <n v="6.7999999999999996E-3"/>
    <n v="5.0900000000000001E-2"/>
    <n v="1.7398"/>
    <m/>
    <s v="Normal"/>
  </r>
  <r>
    <s v="WS Trade P"/>
    <s v="XUT"/>
    <s v="ETF"/>
    <s v="Mix"/>
    <s v="No"/>
    <s v="Utility"/>
    <x v="3"/>
    <s v="CAD"/>
    <s v="Passive"/>
    <m/>
    <n v="8532"/>
    <n v="8556"/>
    <n v="24"/>
    <n v="0.04"/>
    <n v="0.1244"/>
    <n v="0.2056"/>
    <m/>
    <s v="Stable"/>
  </r>
  <r>
    <s v="WS Trade P"/>
    <s v="ZSP"/>
    <s v="ETF"/>
    <s v="Growth"/>
    <s v="No"/>
    <s v="S&amp;P"/>
    <x v="0"/>
    <s v="CAD"/>
    <s v="Passive"/>
    <m/>
    <n v="23215"/>
    <n v="26016"/>
    <n v="2801"/>
    <n v="9.7999999999999997E-3"/>
    <n v="0.15240000000000001"/>
    <n v="1.2584"/>
    <m/>
    <s v="Normal"/>
  </r>
  <r>
    <s v="WS Trade P"/>
    <s v="ZWG"/>
    <s v="ETF"/>
    <s v="Mix"/>
    <s v="Yes"/>
    <s v="Mix"/>
    <x v="2"/>
    <s v="CAD"/>
    <s v="Active"/>
    <m/>
    <n v="50732"/>
    <n v="52682"/>
    <n v="1950"/>
    <n v="6.4799999999999996E-2"/>
    <n v="5.8000000000000003E-2"/>
    <n v="0.22040000000000001"/>
    <m/>
    <s v="Normal"/>
  </r>
  <r>
    <s v="WS Trade P"/>
    <s v="ZWK"/>
    <s v="ETF"/>
    <s v="Mix"/>
    <s v="Yes"/>
    <s v="Banking"/>
    <x v="0"/>
    <s v="CAD"/>
    <m/>
    <m/>
    <n v="31996"/>
    <n v="40356"/>
    <n v="8360"/>
    <n v="7.7699999999999991E-2"/>
    <n v="0.1255"/>
    <n v="0.1409"/>
    <m/>
    <s v="Normal"/>
  </r>
  <r>
    <s v="WS Trade S"/>
    <s v="CLM"/>
    <s v="Fund"/>
    <s v="Growth"/>
    <s v="No"/>
    <s v="Asset Mgt"/>
    <x v="2"/>
    <s v="USD"/>
    <s v="Active"/>
    <m/>
    <n v="6514.6504800000002"/>
    <n v="6336.0880000000006"/>
    <n v="-178.5624799999996"/>
    <n v="0.1724"/>
    <n v="4.71"/>
    <n v="8.5800000000000001E-2"/>
    <s v="Aggressive"/>
    <n v="16.7"/>
  </r>
  <r>
    <s v="WS Trade S"/>
    <s v="FIE"/>
    <s v="ETF"/>
    <s v="Mix"/>
    <s v="No"/>
    <s v="Finance"/>
    <x v="1"/>
    <s v="CAD"/>
    <s v="Active"/>
    <m/>
    <n v="10866"/>
    <n v="10852"/>
    <n v="-14"/>
    <n v="5.9900000000000002E-2"/>
    <n v="0.1192"/>
    <n v="0.52"/>
    <m/>
    <s v="Normal"/>
  </r>
  <r>
    <s v="WS Trade S"/>
    <s v="IGM"/>
    <s v="ETF"/>
    <s v="Growth"/>
    <s v="No"/>
    <s v="IT"/>
    <x v="3"/>
    <s v="USD"/>
    <s v="Passive"/>
    <m/>
    <n v="2371.7129400000003"/>
    <n v="4694.4652000000006"/>
    <n v="2322.7522600000002"/>
    <n v="2.3999999999999998E-3"/>
    <n v="8.0399999999999999E-2"/>
    <n v="1.7770999999999999"/>
    <m/>
    <s v="Normal"/>
  </r>
  <r>
    <s v="WS Trade S"/>
    <s v="MFC"/>
    <s v="Company"/>
    <s v="Mix"/>
    <s v="No"/>
    <s v="Insurance"/>
    <x v="2"/>
    <s v="CAD"/>
    <s v="N/A"/>
    <m/>
    <n v="2146"/>
    <n v="4290"/>
    <n v="2144"/>
    <n v="3.9800000000000002E-2"/>
    <n v="0.30420000000000003"/>
    <n v="1.3471"/>
    <m/>
    <s v="High"/>
  </r>
  <r>
    <s v="WS Trade S"/>
    <s v="TJX"/>
    <s v="Company"/>
    <s v="Growth"/>
    <s v="No"/>
    <s v="Consumer Cyclical"/>
    <x v="3"/>
    <s v="USD"/>
    <s v="N/A"/>
    <n v="0"/>
    <n v="4302.7797600000004"/>
    <n v="4428.0614999999998"/>
    <n v="125.28173999999944"/>
    <n v="1.2999999999999999E-2"/>
    <n v="0.19750000000000001"/>
    <n v="1.9144000000000001"/>
    <m/>
    <m/>
  </r>
  <r>
    <s v="WS Trade S"/>
    <s v="VFV"/>
    <s v="ETF"/>
    <s v="Growth"/>
    <s v="No"/>
    <s v="S&amp;P"/>
    <x v="0"/>
    <s v="CAD"/>
    <s v="Passive"/>
    <m/>
    <n v="6681"/>
    <n v="7583"/>
    <n v="902"/>
    <n v="1.03E-2"/>
    <n v="0.15279999999999999"/>
    <n v="1.2643"/>
    <m/>
    <s v="Normal"/>
  </r>
  <r>
    <s v="WS Trade S"/>
    <s v="XHU"/>
    <s v="ETF"/>
    <s v="Growth"/>
    <s v="No"/>
    <s v="Mix"/>
    <x v="0"/>
    <s v="CAD"/>
    <s v="Passive"/>
    <m/>
    <n v="7004"/>
    <n v="7335"/>
    <n v="331"/>
    <n v="2.7300000000000001E-2"/>
    <n v="0.16159999999999999"/>
    <n v="0.64780000000000004"/>
    <m/>
    <s v="Normal"/>
  </r>
  <r>
    <s v="WS Trade S"/>
    <s v="ZWG"/>
    <s v="ETF"/>
    <s v="Mix"/>
    <s v="Yes"/>
    <s v="Mix"/>
    <x v="2"/>
    <s v="CAD"/>
    <s v="Active"/>
    <m/>
    <n v="10604"/>
    <n v="10435"/>
    <n v="-169"/>
    <n v="6.4799999999999996E-2"/>
    <n v="5.8000000000000003E-2"/>
    <n v="0.22040000000000001"/>
    <m/>
    <s v="Normal"/>
  </r>
  <r>
    <s v="WS TFSA"/>
    <s v="TILV"/>
    <s v="ETF"/>
    <s v="Growth"/>
    <s v="No"/>
    <s v="Mix"/>
    <x v="2"/>
    <s v="CAD"/>
    <s v="Active"/>
    <n v="4.0000000000000001E-3"/>
    <n v="29997"/>
    <n v="30030"/>
    <n v="33"/>
    <n v="3.0499999999999999E-2"/>
    <n v="0.1772"/>
    <n v="0.50290000000000001"/>
    <m/>
    <s v="Low"/>
  </r>
  <r>
    <s v="WS TFSA"/>
    <s v="ZLN"/>
    <s v="ETF"/>
    <s v="Growth"/>
    <s v="No"/>
    <s v="Mix"/>
    <x v="1"/>
    <s v="CAD"/>
    <s v="Active"/>
    <n v="4.0000000000000001E-3"/>
    <n v="22039"/>
    <n v="22054"/>
    <n v="15"/>
    <n v="2.3E-2"/>
    <n v="0.1246"/>
    <n v="0.76039999999999996"/>
    <m/>
    <s v="Low"/>
  </r>
  <r>
    <s v="WS Spousal"/>
    <s v="VTI"/>
    <s v="ETF"/>
    <s v="Growth"/>
    <s v="No"/>
    <s v="Mix"/>
    <x v="0"/>
    <s v="CAD"/>
    <s v="Active"/>
    <n v="4.0000000000000001E-3"/>
    <m/>
    <n v="17805.284"/>
    <m/>
    <n v="1.3300000000000001E-2"/>
    <n v="9.5200000000000007E-2"/>
    <n v="1.2851999999999999"/>
    <m/>
    <m/>
  </r>
  <r>
    <s v="WS Spousal"/>
    <s v="IEFA,EEMV,GLOV"/>
    <s v="ETF"/>
    <s v="Growth"/>
    <s v="No"/>
    <s v="Mix"/>
    <x v="2"/>
    <s v="CAD"/>
    <s v="Active"/>
    <n v="4.0000000000000001E-3"/>
    <m/>
    <n v="30183.614999999998"/>
    <m/>
    <m/>
    <m/>
    <m/>
    <m/>
    <m/>
  </r>
  <r>
    <s v="WS Spousal"/>
    <s v="QCN"/>
    <s v="ETF"/>
    <s v="Growth"/>
    <s v="No"/>
    <s v="Mix"/>
    <x v="1"/>
    <s v="CAD"/>
    <s v="Active"/>
    <n v="4.4000000000000003E-3"/>
    <m/>
    <n v="6829.424"/>
    <m/>
    <n v="2.75E-2"/>
    <n v="14.41"/>
    <n v="0.95350000000000001"/>
    <m/>
    <m/>
  </r>
  <r>
    <s v="WS Spousal"/>
    <s v="ZFL"/>
    <s v="ETF"/>
    <s v="Growth"/>
    <s v="No"/>
    <s v="Bond"/>
    <x v="3"/>
    <s v="CAD"/>
    <s v="Active"/>
    <n v="6.2000000000000006E-3"/>
    <m/>
    <n v="4451.3209999999999"/>
    <m/>
    <n v="3.0700000000000002E-2"/>
    <n v="3.8899999999999997E-2"/>
    <n v="-0.33439999999999998"/>
    <m/>
    <m/>
  </r>
  <r>
    <s v="WS Spousal"/>
    <s v="GLDM"/>
    <s v="ETF"/>
    <s v="Growth"/>
    <s v="No"/>
    <s v="Gold"/>
    <x v="2"/>
    <s v="CAD"/>
    <s v="Active"/>
    <n v="5.0000000000000001E-3"/>
    <m/>
    <n v="1524.4250000000002"/>
    <m/>
    <n v="0"/>
    <n v="0.38750000000000001"/>
    <n v="1.0013000000000001"/>
    <m/>
    <m/>
  </r>
  <r>
    <s v="BNS ESOP"/>
    <s v="BNS"/>
    <s v="Company"/>
    <s v="Mix"/>
    <s v="No"/>
    <s v="Banking"/>
    <x v="1"/>
    <s v="CAD"/>
    <s v="N/A"/>
    <n v="0"/>
    <n v="99028"/>
    <n v="96959"/>
    <n v="-2069"/>
    <n v="6.1399999999999996E-2"/>
    <n v="1.5299999999999999E-2"/>
    <n v="0.29160000000000003"/>
    <m/>
    <s v="Normal"/>
  </r>
  <r>
    <s v="Canada Life RRS P"/>
    <s v="BR LP 2040"/>
    <s v="Fund"/>
    <s v="Growth"/>
    <s v="No"/>
    <s v="Mix"/>
    <x v="2"/>
    <s v="CAD"/>
    <m/>
    <n v="8.4000000000000003E-4"/>
    <m/>
    <n v="22713"/>
    <m/>
    <m/>
    <n v="0.1976"/>
    <n v="0.44400000000000006"/>
    <m/>
    <s v="Normal"/>
  </r>
  <r>
    <s v="Canada Life RRS P"/>
    <s v="BR LP 2060"/>
    <s v="Fund"/>
    <s v="Growth"/>
    <s v="No"/>
    <s v="Mix"/>
    <x v="2"/>
    <s v="CAD"/>
    <m/>
    <n v="8.8999999999999995E-4"/>
    <m/>
    <n v="7480"/>
    <m/>
    <m/>
    <n v="0.25"/>
    <n v="0.54749999999999999"/>
    <m/>
    <s v="Normal"/>
  </r>
  <r>
    <s v="Canada Life RRS P"/>
    <s v="US Equity index"/>
    <s v="Fund"/>
    <s v="Growth"/>
    <s v="No"/>
    <s v="S&amp;P"/>
    <x v="0"/>
    <s v="CAD"/>
    <s v="Passive"/>
    <n v="5.2999999999999998E-4"/>
    <m/>
    <n v="7976"/>
    <m/>
    <m/>
    <n v="0.35930000000000001"/>
    <n v="0.8284999999999999"/>
    <m/>
    <s v="Normal"/>
  </r>
  <r>
    <s v="Canada Life RRS P"/>
    <s v="Int'l Equity"/>
    <s v="Fund"/>
    <s v="Growth"/>
    <s v="No"/>
    <s v="Mix"/>
    <x v="2"/>
    <s v="CAD"/>
    <m/>
    <n v="6.3000000000000003E-4"/>
    <m/>
    <n v="4813"/>
    <m/>
    <m/>
    <n v="0.13420000000000001"/>
    <n v="0.44850000000000001"/>
    <m/>
    <s v="Normal"/>
  </r>
  <r>
    <s v="Canada Life RRS P"/>
    <s v="Int'l Equity Index"/>
    <s v="Fund"/>
    <s v="Growth"/>
    <s v="No"/>
    <s v="Mix"/>
    <x v="2"/>
    <s v="CAD"/>
    <s v="Passive"/>
    <n v="6.3000000000000003E-4"/>
    <m/>
    <n v="2741"/>
    <m/>
    <m/>
    <n v="0.13189999999999999"/>
    <n v="0.34599999999999997"/>
    <m/>
    <s v="Normal"/>
  </r>
  <r>
    <s v="Canada Life DPSP P"/>
    <s v="BR LP 2040"/>
    <s v="Fund"/>
    <s v="Growth"/>
    <s v="No"/>
    <s v="Mix"/>
    <x v="2"/>
    <s v="CAD"/>
    <m/>
    <n v="8.4000000000000003E-4"/>
    <m/>
    <n v="23779"/>
    <m/>
    <m/>
    <n v="0.1976"/>
    <n v="0.44400000000000006"/>
    <m/>
    <s v="Normal"/>
  </r>
  <r>
    <s v="Canada Life DPSP P"/>
    <s v="BR LP 2060"/>
    <s v="Fund"/>
    <s v="Growth"/>
    <s v="No"/>
    <s v="Mix"/>
    <x v="2"/>
    <s v="CAD"/>
    <m/>
    <n v="8.8999999999999995E-4"/>
    <m/>
    <n v="4623"/>
    <m/>
    <m/>
    <n v="0.25"/>
    <n v="0.54749999999999999"/>
    <m/>
    <s v="Normal"/>
  </r>
  <r>
    <s v="Canada Life DPSP P"/>
    <s v="US Equity index"/>
    <s v="Fund"/>
    <s v="Growth"/>
    <s v="No"/>
    <s v="S&amp;P"/>
    <x v="0"/>
    <s v="CAD"/>
    <s v="Passive"/>
    <n v="5.2999999999999998E-4"/>
    <m/>
    <n v="9982"/>
    <m/>
    <m/>
    <n v="0.35930000000000001"/>
    <n v="0.8284999999999999"/>
    <m/>
    <s v="Normal"/>
  </r>
  <r>
    <s v="Canada Life DPSP P"/>
    <s v="Int'l Equity Index"/>
    <s v="Fund"/>
    <s v="Growth"/>
    <s v="No"/>
    <s v="Mix"/>
    <x v="2"/>
    <s v="CAD"/>
    <s v="Passive"/>
    <n v="6.3000000000000003E-4"/>
    <m/>
    <n v="7240"/>
    <m/>
    <m/>
    <n v="0.13189999999999999"/>
    <n v="0.34599999999999997"/>
    <m/>
    <s v="Normal"/>
  </r>
  <r>
    <m/>
    <m/>
    <m/>
    <m/>
    <m/>
    <m/>
    <x v="4"/>
    <m/>
    <m/>
    <m/>
    <m/>
    <n v="771085.47936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9E6DCD-8EA2-4295-ABC0-8DD69F539F6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8:B22" firstHeaderRow="1" firstDataRow="1" firstDataCol="1"/>
  <pivotFields count="18"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arket Value" fld="11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5535FA-AA76-4686-A1D3-E80FB5D3BD3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1:K5" firstHeaderRow="1" firstDataRow="1" firstDataCol="1"/>
  <pivotFields count="18">
    <pivotField showAll="0"/>
    <pivotField showAll="0"/>
    <pivotField showAll="0"/>
    <pivotField axis="axisRow" showAll="0">
      <items count="7">
        <item x="2"/>
        <item m="1" x="5"/>
        <item x="0"/>
        <item x="1"/>
        <item h="1" x="3"/>
        <item h="1" m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Sum of Market Value" fld="1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99BF35-65C3-470F-A28E-BAD7277E0C1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1:F12" firstHeaderRow="1" firstDataRow="1" firstDataCol="1"/>
  <pivotFields count="18">
    <pivotField showAll="0"/>
    <pivotField showAll="0"/>
    <pivotField showAll="0"/>
    <pivotField showAll="0"/>
    <pivotField showAll="0"/>
    <pivotField axis="axisRow" showAll="0" sortType="descending">
      <items count="21">
        <item x="1"/>
        <item x="0"/>
        <item x="13"/>
        <item m="1" x="17"/>
        <item x="6"/>
        <item x="7"/>
        <item m="1" x="18"/>
        <item x="9"/>
        <item x="8"/>
        <item m="1" x="19"/>
        <item m="1" x="16"/>
        <item x="11"/>
        <item x="10"/>
        <item h="1" x="15"/>
        <item x="14"/>
        <item h="1" x="2"/>
        <item h="1" x="3"/>
        <item h="1" x="4"/>
        <item h="1" x="5"/>
        <item h="1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1">
    <i>
      <x v="8"/>
    </i>
    <i>
      <x/>
    </i>
    <i>
      <x v="7"/>
    </i>
    <i>
      <x v="11"/>
    </i>
    <i>
      <x v="4"/>
    </i>
    <i>
      <x v="5"/>
    </i>
    <i>
      <x v="12"/>
    </i>
    <i>
      <x v="1"/>
    </i>
    <i>
      <x v="2"/>
    </i>
    <i>
      <x v="14"/>
    </i>
    <i t="grand">
      <x/>
    </i>
  </rowItems>
  <colItems count="1">
    <i/>
  </colItems>
  <dataFields count="1">
    <dataField name="Sum of Market Value" fld="11" baseField="0" baseItem="0" numFmtId="166"/>
  </dataFields>
  <formats count="1">
    <format dxfId="0">
      <pivotArea outline="0" collapsedLevelsAreSubtotals="1" fieldPosition="0"/>
    </format>
  </formats>
  <chartFormats count="1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17547-4D4B-447E-BA3C-4B565723504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:B7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3"/>
        <item x="0"/>
        <item h="1" x="4"/>
        <item t="default"/>
      </items>
    </pivotField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arket Value" fld="11" baseField="0" baseItem="0" numFmtId="164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78EF4-72F5-4B29-BD7F-33D03079848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17:K20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 of Market Value" fld="11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9736A6-0FC9-42F7-A865-529BCE2C30D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17:F20" firstHeaderRow="1" firstDataRow="1" firstDataCol="1"/>
  <pivotFields count="18"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Market Value" fld="11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4C43-B795-46E8-9D36-20C25BE99636}">
  <dimension ref="A1:AV44"/>
  <sheetViews>
    <sheetView showGridLines="0" tabSelected="1" zoomScaleNormal="100" workbookViewId="0">
      <selection activeCell="O13" sqref="O13"/>
    </sheetView>
  </sheetViews>
  <sheetFormatPr defaultRowHeight="14.5" x14ac:dyDescent="0.35"/>
  <cols>
    <col min="1" max="1" width="10.08984375" customWidth="1"/>
    <col min="2" max="3" width="10.26953125" customWidth="1"/>
    <col min="4" max="4" width="10.36328125" customWidth="1"/>
    <col min="5" max="5" width="10" customWidth="1"/>
    <col min="6" max="6" width="9.7265625" customWidth="1"/>
    <col min="7" max="7" width="8.90625" customWidth="1"/>
    <col min="8" max="8" width="10.81640625" bestFit="1" customWidth="1"/>
    <col min="9" max="9" width="11" customWidth="1"/>
    <col min="10" max="10" width="12.08984375" customWidth="1"/>
    <col min="11" max="11" width="9.54296875" bestFit="1" customWidth="1"/>
    <col min="12" max="12" width="11.6328125" customWidth="1"/>
    <col min="13" max="13" width="14.1796875" bestFit="1" customWidth="1"/>
    <col min="14" max="14" width="9.26953125" customWidth="1"/>
    <col min="15" max="15" width="8.54296875" customWidth="1"/>
    <col min="16" max="17" width="10.08984375" customWidth="1"/>
    <col min="18" max="18" width="10.36328125" customWidth="1"/>
    <col min="19" max="19" width="9.453125" customWidth="1"/>
    <col min="20" max="20" width="9.54296875" bestFit="1" customWidth="1"/>
    <col min="21" max="21" width="11.08984375" customWidth="1"/>
    <col min="22" max="22" width="11.81640625" customWidth="1"/>
    <col min="23" max="23" width="9.54296875" bestFit="1" customWidth="1"/>
    <col min="25" max="25" width="4.1796875" customWidth="1"/>
  </cols>
  <sheetData>
    <row r="1" spans="1:48" s="62" customFormat="1" x14ac:dyDescent="0.35">
      <c r="A1" s="77" t="s">
        <v>40</v>
      </c>
      <c r="B1" s="58" t="s">
        <v>44</v>
      </c>
      <c r="C1" s="60" t="s">
        <v>1</v>
      </c>
      <c r="D1" s="60" t="s">
        <v>13</v>
      </c>
      <c r="E1" s="61" t="s">
        <v>14</v>
      </c>
      <c r="G1" s="77" t="s">
        <v>5</v>
      </c>
      <c r="H1" s="58" t="s">
        <v>1</v>
      </c>
      <c r="I1" s="59" t="s">
        <v>13</v>
      </c>
      <c r="P1" s="22"/>
      <c r="Q1" s="100" t="s">
        <v>3</v>
      </c>
      <c r="R1" s="101" t="s">
        <v>44</v>
      </c>
      <c r="S1" s="102" t="s">
        <v>1</v>
      </c>
      <c r="T1" s="103" t="s">
        <v>13</v>
      </c>
      <c r="U1" s="100" t="s">
        <v>45</v>
      </c>
      <c r="V1" s="101" t="s">
        <v>44</v>
      </c>
      <c r="W1" s="101" t="s">
        <v>1</v>
      </c>
      <c r="X1" s="101" t="s">
        <v>13</v>
      </c>
      <c r="Y1" s="101" t="s">
        <v>2</v>
      </c>
      <c r="Z1" s="104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</row>
    <row r="2" spans="1:48" s="67" customFormat="1" x14ac:dyDescent="0.35">
      <c r="A2" s="96">
        <v>2016</v>
      </c>
      <c r="B2" s="64"/>
      <c r="C2" s="64"/>
      <c r="D2" s="64"/>
      <c r="E2" s="65"/>
      <c r="G2" s="98">
        <v>2016</v>
      </c>
      <c r="H2" s="63"/>
      <c r="I2" s="66"/>
      <c r="P2"/>
      <c r="Q2" s="105">
        <v>2016</v>
      </c>
      <c r="R2" s="106"/>
      <c r="S2" s="106"/>
      <c r="T2" s="107"/>
      <c r="U2" s="12">
        <v>2016</v>
      </c>
      <c r="V2" s="108">
        <v>264</v>
      </c>
      <c r="W2" s="108">
        <v>24461</v>
      </c>
      <c r="X2" s="108">
        <f>8303+13420.47</f>
        <v>21723.47</v>
      </c>
      <c r="Y2" s="2">
        <f>W2-X2</f>
        <v>2737.5299999999988</v>
      </c>
      <c r="Z2" s="16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</row>
    <row r="3" spans="1:48" s="67" customFormat="1" x14ac:dyDescent="0.35">
      <c r="A3" s="96">
        <v>2017</v>
      </c>
      <c r="B3" s="64"/>
      <c r="C3" s="64"/>
      <c r="D3" s="64"/>
      <c r="E3" s="65"/>
      <c r="G3" s="98">
        <v>2017</v>
      </c>
      <c r="H3" s="63"/>
      <c r="I3" s="66"/>
      <c r="P3"/>
      <c r="Q3" s="105">
        <v>2017</v>
      </c>
      <c r="R3" s="106"/>
      <c r="S3" s="106"/>
      <c r="T3" s="107"/>
      <c r="U3" s="12">
        <v>2017</v>
      </c>
      <c r="V3" s="108">
        <v>947.65</v>
      </c>
      <c r="W3" s="108">
        <v>38303</v>
      </c>
      <c r="X3" s="108">
        <v>10000</v>
      </c>
      <c r="Y3" s="2">
        <f>W3-X3-W2</f>
        <v>3842</v>
      </c>
      <c r="Z3" s="109">
        <f>Y3/W3</f>
        <v>0.10030545910242017</v>
      </c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</row>
    <row r="4" spans="1:48" s="67" customFormat="1" x14ac:dyDescent="0.35">
      <c r="A4" s="96">
        <v>2018</v>
      </c>
      <c r="B4" s="64"/>
      <c r="C4" s="64"/>
      <c r="D4" s="64"/>
      <c r="E4" s="65"/>
      <c r="G4" s="98">
        <v>2018</v>
      </c>
      <c r="H4" s="63"/>
      <c r="I4" s="66"/>
      <c r="P4"/>
      <c r="Q4" s="105">
        <v>2018</v>
      </c>
      <c r="R4" s="55"/>
      <c r="S4" s="55"/>
      <c r="T4" s="110">
        <v>100</v>
      </c>
      <c r="U4" s="12">
        <v>2018</v>
      </c>
      <c r="V4" s="108">
        <v>1452.31</v>
      </c>
      <c r="W4" s="108">
        <v>53958</v>
      </c>
      <c r="X4" s="108">
        <v>20000</v>
      </c>
      <c r="Y4" s="2">
        <f>W4-X4-W3</f>
        <v>-4345</v>
      </c>
      <c r="Z4" s="109">
        <f t="shared" ref="Z4:Z8" si="0">Y4/W4</f>
        <v>-8.0525593980503352E-2</v>
      </c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</row>
    <row r="5" spans="1:48" s="67" customFormat="1" x14ac:dyDescent="0.35">
      <c r="A5" s="96">
        <v>2019</v>
      </c>
      <c r="B5" s="64"/>
      <c r="C5" s="64"/>
      <c r="D5" s="64"/>
      <c r="E5" s="65"/>
      <c r="G5" s="98">
        <v>2019</v>
      </c>
      <c r="H5" s="63"/>
      <c r="I5" s="66"/>
      <c r="P5"/>
      <c r="Q5" s="105">
        <v>2019</v>
      </c>
      <c r="R5" s="55">
        <v>369.48</v>
      </c>
      <c r="S5" s="55">
        <v>50390.93</v>
      </c>
      <c r="T5" s="110">
        <v>50000</v>
      </c>
      <c r="U5" s="12">
        <v>2019</v>
      </c>
      <c r="V5" s="108">
        <v>2086.3200000000002</v>
      </c>
      <c r="W5" s="108">
        <v>65888</v>
      </c>
      <c r="X5" s="108"/>
      <c r="Y5" s="2">
        <f t="shared" ref="Y5:Y8" si="1">W5-X5-W4</f>
        <v>11930</v>
      </c>
      <c r="Z5" s="109">
        <f t="shared" si="0"/>
        <v>0.18106483729966003</v>
      </c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</row>
    <row r="6" spans="1:48" s="67" customFormat="1" x14ac:dyDescent="0.35">
      <c r="A6" s="96">
        <v>2020</v>
      </c>
      <c r="B6" s="68">
        <v>164</v>
      </c>
      <c r="C6" s="68">
        <v>11364</v>
      </c>
      <c r="D6" s="68">
        <v>10000</v>
      </c>
      <c r="E6" s="69"/>
      <c r="G6" s="98">
        <v>2020</v>
      </c>
      <c r="H6" s="63">
        <v>6759</v>
      </c>
      <c r="I6" s="66">
        <f>H6</f>
        <v>6759</v>
      </c>
      <c r="P6"/>
      <c r="Q6" s="105">
        <v>2020</v>
      </c>
      <c r="R6" s="55">
        <f>569.01+1460</f>
        <v>2029.01</v>
      </c>
      <c r="S6" s="55">
        <v>107597</v>
      </c>
      <c r="T6" s="110">
        <v>50000</v>
      </c>
      <c r="U6" s="12">
        <v>2020</v>
      </c>
      <c r="V6" s="108">
        <v>3832.46</v>
      </c>
      <c r="W6" s="108">
        <v>118697</v>
      </c>
      <c r="X6" s="108">
        <v>40000</v>
      </c>
      <c r="Y6" s="2">
        <f t="shared" si="1"/>
        <v>12809</v>
      </c>
      <c r="Z6" s="109">
        <f t="shared" si="0"/>
        <v>0.10791342662409328</v>
      </c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</row>
    <row r="7" spans="1:48" s="67" customFormat="1" x14ac:dyDescent="0.35">
      <c r="A7" s="96">
        <v>2021</v>
      </c>
      <c r="B7" s="68">
        <v>533</v>
      </c>
      <c r="C7" s="68">
        <v>14260</v>
      </c>
      <c r="D7" s="68"/>
      <c r="E7" s="69"/>
      <c r="G7" s="98">
        <v>2021</v>
      </c>
      <c r="H7" s="63">
        <v>22522</v>
      </c>
      <c r="I7" s="66">
        <f>6933+6933</f>
        <v>13866</v>
      </c>
      <c r="P7"/>
      <c r="Q7" s="105">
        <v>2021</v>
      </c>
      <c r="R7" s="55">
        <f>637+1845</f>
        <v>2482</v>
      </c>
      <c r="S7" s="55">
        <v>121923</v>
      </c>
      <c r="T7" s="110"/>
      <c r="U7" s="12">
        <v>2021</v>
      </c>
      <c r="V7" s="108">
        <v>4218</v>
      </c>
      <c r="W7" s="108">
        <v>154661</v>
      </c>
      <c r="X7" s="108"/>
      <c r="Y7" s="2">
        <f t="shared" si="1"/>
        <v>35964</v>
      </c>
      <c r="Z7" s="109">
        <f t="shared" si="0"/>
        <v>0.23253438164760346</v>
      </c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</row>
    <row r="8" spans="1:48" s="67" customFormat="1" x14ac:dyDescent="0.35">
      <c r="A8" s="96">
        <v>2022</v>
      </c>
      <c r="B8" s="68">
        <v>2306</v>
      </c>
      <c r="C8" s="68">
        <v>137192</v>
      </c>
      <c r="D8" s="68">
        <f>20155</f>
        <v>20155</v>
      </c>
      <c r="E8" s="69">
        <v>108519</v>
      </c>
      <c r="G8" s="98">
        <v>2022</v>
      </c>
      <c r="H8" s="63">
        <v>35308</v>
      </c>
      <c r="I8" s="66">
        <f>7477+7477</f>
        <v>14954</v>
      </c>
      <c r="P8"/>
      <c r="Q8" s="105">
        <v>2022</v>
      </c>
      <c r="R8" s="55">
        <v>635</v>
      </c>
      <c r="S8" s="55">
        <v>2</v>
      </c>
      <c r="T8" s="110"/>
      <c r="U8" s="12">
        <v>2022</v>
      </c>
      <c r="V8" s="108">
        <v>4773.24</v>
      </c>
      <c r="W8" s="108">
        <v>134856</v>
      </c>
      <c r="X8" s="108"/>
      <c r="Y8" s="2">
        <f t="shared" si="1"/>
        <v>-19805</v>
      </c>
      <c r="Z8" s="109">
        <f t="shared" si="0"/>
        <v>-0.14686035474876905</v>
      </c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</row>
    <row r="9" spans="1:48" s="67" customFormat="1" x14ac:dyDescent="0.35">
      <c r="A9" s="96">
        <v>2023</v>
      </c>
      <c r="B9" s="68">
        <f>Dividends!J4</f>
        <v>10962.859999999999</v>
      </c>
      <c r="C9" s="68">
        <v>154754</v>
      </c>
      <c r="D9" s="68">
        <v>2350</v>
      </c>
      <c r="E9" s="69"/>
      <c r="G9" s="98">
        <v>2023</v>
      </c>
      <c r="H9" s="63">
        <f>28435.66+28420.28</f>
        <v>56855.94</v>
      </c>
      <c r="I9" s="66">
        <f>7789.89*2</f>
        <v>15579.78</v>
      </c>
      <c r="P9"/>
      <c r="Q9" s="105"/>
      <c r="R9" s="55"/>
      <c r="S9" s="55"/>
      <c r="T9" s="110"/>
      <c r="U9" s="12">
        <v>2023</v>
      </c>
      <c r="V9" s="108">
        <f>Dividends!J8</f>
        <v>6675.31</v>
      </c>
      <c r="W9" s="108">
        <v>163382.29</v>
      </c>
      <c r="X9" s="108"/>
      <c r="Y9" s="2">
        <f t="shared" ref="Y9" si="2">W9-X9-W8</f>
        <v>28526.290000000008</v>
      </c>
      <c r="Z9" s="109">
        <f t="shared" ref="Z9" si="3">Y9/W9</f>
        <v>0.17459842189750191</v>
      </c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</row>
    <row r="10" spans="1:48" s="67" customFormat="1" x14ac:dyDescent="0.35">
      <c r="A10" s="96">
        <v>2024</v>
      </c>
      <c r="B10" s="68">
        <f>Dividends!L4</f>
        <v>21192</v>
      </c>
      <c r="C10" s="54">
        <v>427038</v>
      </c>
      <c r="D10" s="68"/>
      <c r="E10" s="69">
        <f>334668-140655</f>
        <v>194013</v>
      </c>
      <c r="G10" s="98">
        <v>2024</v>
      </c>
      <c r="H10" s="63">
        <f>43799+43758</f>
        <v>87557</v>
      </c>
      <c r="I10" s="66">
        <f>1506+7032+8539</f>
        <v>17077</v>
      </c>
      <c r="P10"/>
      <c r="Q10" s="105"/>
      <c r="R10" s="55"/>
      <c r="S10" s="55"/>
      <c r="T10" s="110"/>
      <c r="U10" s="12">
        <v>2024</v>
      </c>
      <c r="V10" s="108">
        <f>Dividends!L8</f>
        <v>1790.73</v>
      </c>
      <c r="W10" s="108">
        <v>115</v>
      </c>
      <c r="X10" s="108"/>
      <c r="Y10" s="2"/>
      <c r="Z10" s="109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</row>
    <row r="11" spans="1:48" s="67" customFormat="1" ht="15" thickBot="1" x14ac:dyDescent="0.4">
      <c r="A11" s="71"/>
      <c r="B11" s="72">
        <f>SUM(B6:B10)</f>
        <v>35157.86</v>
      </c>
      <c r="C11" s="73"/>
      <c r="D11" s="72">
        <f>SUM(D2:D10)</f>
        <v>32505</v>
      </c>
      <c r="E11" s="74"/>
      <c r="G11" s="70"/>
      <c r="H11" s="75"/>
      <c r="I11" s="76">
        <f>SUM(I6:I10)</f>
        <v>68235.78</v>
      </c>
      <c r="P11"/>
      <c r="Q11" s="111"/>
      <c r="R11" s="112">
        <f>SUM(R5:R8)</f>
        <v>5515.49</v>
      </c>
      <c r="S11" s="112"/>
      <c r="T11" s="113">
        <f>SUM(T4:T8)</f>
        <v>100100</v>
      </c>
      <c r="U11" s="13"/>
      <c r="V11" s="14">
        <f>SUM(V2:V10)</f>
        <v>26040.020000000004</v>
      </c>
      <c r="W11" s="14"/>
      <c r="X11" s="14">
        <f t="shared" ref="X11:Y11" si="4">SUM(X2:X8)</f>
        <v>91723.47</v>
      </c>
      <c r="Y11" s="14">
        <f t="shared" si="4"/>
        <v>43132.53</v>
      </c>
      <c r="Z11" s="114">
        <f>Y11/X11</f>
        <v>0.47024529272606019</v>
      </c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</row>
    <row r="12" spans="1:48" ht="15" thickBot="1" x14ac:dyDescent="0.4"/>
    <row r="13" spans="1:48" s="83" customFormat="1" x14ac:dyDescent="0.35">
      <c r="A13" s="77" t="s">
        <v>41</v>
      </c>
      <c r="B13" s="79" t="s">
        <v>44</v>
      </c>
      <c r="C13" s="81" t="s">
        <v>1</v>
      </c>
      <c r="D13" s="81" t="s">
        <v>13</v>
      </c>
      <c r="E13" s="82" t="s">
        <v>14</v>
      </c>
      <c r="F13" s="77" t="s">
        <v>4</v>
      </c>
      <c r="G13" s="79" t="s">
        <v>44</v>
      </c>
      <c r="H13" s="79" t="s">
        <v>1</v>
      </c>
      <c r="I13" s="80" t="s">
        <v>13</v>
      </c>
      <c r="J13" s="77" t="s">
        <v>42</v>
      </c>
      <c r="K13" s="81" t="s">
        <v>1</v>
      </c>
      <c r="L13" s="81" t="s">
        <v>13</v>
      </c>
      <c r="M13" s="77" t="s">
        <v>43</v>
      </c>
      <c r="N13" s="81" t="s">
        <v>1</v>
      </c>
      <c r="O13" s="82" t="s">
        <v>13</v>
      </c>
      <c r="P13" s="22"/>
      <c r="Q13" s="100" t="s">
        <v>46</v>
      </c>
      <c r="R13" s="101" t="s">
        <v>44</v>
      </c>
      <c r="S13" s="101" t="s">
        <v>1</v>
      </c>
      <c r="T13" s="104" t="s">
        <v>13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</row>
    <row r="14" spans="1:48" s="87" customFormat="1" x14ac:dyDescent="0.35">
      <c r="A14" s="84"/>
      <c r="E14" s="88"/>
      <c r="F14" s="97">
        <v>2016</v>
      </c>
      <c r="G14" s="85">
        <f>7.01+15.18+21.38+29.18+14.03+30.36+42.75+58.35</f>
        <v>218.23999999999998</v>
      </c>
      <c r="H14" s="85">
        <v>10596</v>
      </c>
      <c r="I14" s="86">
        <f>26*(90.38+180.75)</f>
        <v>7049.38</v>
      </c>
      <c r="J14" s="84"/>
      <c r="M14" s="84"/>
      <c r="O14" s="88"/>
      <c r="P14"/>
      <c r="Q14" s="12">
        <v>2016</v>
      </c>
      <c r="R14"/>
      <c r="S14"/>
      <c r="T14" s="16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</row>
    <row r="15" spans="1:48" s="87" customFormat="1" x14ac:dyDescent="0.35">
      <c r="A15" s="84"/>
      <c r="E15" s="88"/>
      <c r="F15" s="97">
        <v>2017</v>
      </c>
      <c r="G15" s="85">
        <f>34.96+42.5+48.41+57.43+69.92+84.99+96.81+114.86</f>
        <v>549.88</v>
      </c>
      <c r="H15" s="85">
        <v>19544</v>
      </c>
      <c r="I15" s="86">
        <f>26*(95.24+184.73)</f>
        <v>7279.2199999999993</v>
      </c>
      <c r="J15" s="84"/>
      <c r="M15" s="84"/>
      <c r="O15" s="88"/>
      <c r="P15"/>
      <c r="Q15" s="12">
        <v>2017</v>
      </c>
      <c r="R15"/>
      <c r="S15"/>
      <c r="T15" s="16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</row>
    <row r="16" spans="1:48" s="87" customFormat="1" x14ac:dyDescent="0.35">
      <c r="A16" s="84"/>
      <c r="E16" s="88"/>
      <c r="F16" s="97">
        <v>2018</v>
      </c>
      <c r="G16" s="85">
        <f>63.45+73.4+80.25+91.61+126.89+146.8+160.49+183.2</f>
        <v>926.09000000000015</v>
      </c>
      <c r="H16" s="85">
        <v>23938</v>
      </c>
      <c r="I16" s="86">
        <f>26*(96.97+193.34)</f>
        <v>7548.06</v>
      </c>
      <c r="J16" s="84"/>
      <c r="M16" s="84"/>
      <c r="O16" s="88"/>
      <c r="P16"/>
      <c r="Q16" s="12">
        <v>2018</v>
      </c>
      <c r="R16" s="108">
        <v>6.85</v>
      </c>
      <c r="S16" s="108">
        <v>962</v>
      </c>
      <c r="T16" s="115">
        <v>1000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</row>
    <row r="17" spans="1:48" s="87" customFormat="1" x14ac:dyDescent="0.35">
      <c r="A17" s="84"/>
      <c r="E17" s="88"/>
      <c r="F17" s="97">
        <v>2019</v>
      </c>
      <c r="G17" s="85">
        <v>1406</v>
      </c>
      <c r="H17" s="85">
        <v>35509</v>
      </c>
      <c r="I17" s="86">
        <f>26*(118.33+197.21)</f>
        <v>8204.0400000000009</v>
      </c>
      <c r="J17" s="84"/>
      <c r="M17" s="84"/>
      <c r="O17" s="88"/>
      <c r="P17"/>
      <c r="Q17" s="12">
        <v>2019</v>
      </c>
      <c r="R17" s="108">
        <v>77</v>
      </c>
      <c r="S17" s="108">
        <v>6782</v>
      </c>
      <c r="T17" s="115">
        <v>5500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</row>
    <row r="18" spans="1:48" s="87" customFormat="1" x14ac:dyDescent="0.35">
      <c r="A18" s="84"/>
      <c r="E18" s="88"/>
      <c r="F18" s="97">
        <v>2020</v>
      </c>
      <c r="G18" s="85">
        <v>1984</v>
      </c>
      <c r="H18" s="85">
        <v>45399</v>
      </c>
      <c r="I18" s="86">
        <f>26*(121.87+203.12)</f>
        <v>8449.74</v>
      </c>
      <c r="J18" s="84"/>
      <c r="M18" s="84"/>
      <c r="O18" s="88"/>
      <c r="P18"/>
      <c r="Q18" s="12">
        <v>2020</v>
      </c>
      <c r="R18" s="108">
        <v>291</v>
      </c>
      <c r="S18" s="108">
        <v>19182</v>
      </c>
      <c r="T18" s="115">
        <v>10000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</row>
    <row r="19" spans="1:48" s="87" customFormat="1" x14ac:dyDescent="0.35">
      <c r="A19" s="84"/>
      <c r="E19" s="88"/>
      <c r="F19" s="97">
        <v>2021</v>
      </c>
      <c r="G19" s="85">
        <v>2566</v>
      </c>
      <c r="H19" s="85">
        <v>71647</v>
      </c>
      <c r="I19" s="86">
        <f>26*(121.87+203.12)</f>
        <v>8449.74</v>
      </c>
      <c r="J19" s="84"/>
      <c r="M19" s="84"/>
      <c r="O19" s="88"/>
      <c r="P19"/>
      <c r="Q19" s="12">
        <v>2021</v>
      </c>
      <c r="R19" s="108">
        <v>417</v>
      </c>
      <c r="S19" s="108">
        <v>22032</v>
      </c>
      <c r="T19" s="115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</row>
    <row r="20" spans="1:48" s="87" customFormat="1" x14ac:dyDescent="0.35">
      <c r="A20" s="84"/>
      <c r="E20" s="88"/>
      <c r="F20" s="97">
        <v>2022</v>
      </c>
      <c r="G20" s="85">
        <v>3460</v>
      </c>
      <c r="H20" s="85">
        <v>63460</v>
      </c>
      <c r="I20" s="86">
        <f>26*(124.63+207.72)</f>
        <v>8641.1</v>
      </c>
      <c r="J20" s="84"/>
      <c r="M20" s="84"/>
      <c r="O20" s="88"/>
      <c r="P20"/>
      <c r="Q20" s="12">
        <v>2022</v>
      </c>
      <c r="R20" s="108">
        <v>733</v>
      </c>
      <c r="S20" s="108">
        <v>23110</v>
      </c>
      <c r="T20" s="115">
        <v>3050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</row>
    <row r="21" spans="1:48" s="87" customFormat="1" x14ac:dyDescent="0.35">
      <c r="A21" s="84"/>
      <c r="E21" s="88"/>
      <c r="F21" s="97">
        <v>2023</v>
      </c>
      <c r="G21" s="85">
        <f>Dividends!J7</f>
        <v>4293.9800000000005</v>
      </c>
      <c r="H21" s="85">
        <v>74790</v>
      </c>
      <c r="I21" s="86">
        <f>26*(127.13+211.88)</f>
        <v>8814.26</v>
      </c>
      <c r="J21" s="84"/>
      <c r="M21" s="84"/>
      <c r="O21" s="88"/>
      <c r="P21"/>
      <c r="Q21" s="12">
        <v>2023</v>
      </c>
      <c r="R21" s="108">
        <f>Dividends!J10</f>
        <v>1077.22</v>
      </c>
      <c r="S21" s="108">
        <v>30219</v>
      </c>
      <c r="T21" s="115">
        <v>3050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</row>
    <row r="22" spans="1:48" s="87" customFormat="1" x14ac:dyDescent="0.35">
      <c r="A22" s="97">
        <v>2024</v>
      </c>
      <c r="B22" s="89">
        <f>Dividends!L6</f>
        <v>1108.52</v>
      </c>
      <c r="C22" s="89">
        <v>39411</v>
      </c>
      <c r="D22" s="89">
        <v>1700</v>
      </c>
      <c r="E22" s="89">
        <v>34167</v>
      </c>
      <c r="F22" s="97">
        <v>2024</v>
      </c>
      <c r="G22" s="85">
        <f>Dividends!L7</f>
        <v>5259.75</v>
      </c>
      <c r="H22" s="85">
        <v>106012</v>
      </c>
      <c r="I22" s="86">
        <f>26*(128.16+213.6)</f>
        <v>8885.76</v>
      </c>
      <c r="J22" s="97">
        <v>2024</v>
      </c>
      <c r="K22" s="89">
        <v>59543</v>
      </c>
      <c r="L22" s="89">
        <v>52000</v>
      </c>
      <c r="M22" s="97">
        <v>2024</v>
      </c>
      <c r="N22" s="89">
        <v>31964</v>
      </c>
      <c r="O22" s="90">
        <f>40000-3976-5137</f>
        <v>30887</v>
      </c>
      <c r="P22"/>
      <c r="Q22" s="12">
        <v>2024</v>
      </c>
      <c r="R22" s="108">
        <f>Dividends!L10</f>
        <v>268.5</v>
      </c>
      <c r="S22" s="108">
        <v>228</v>
      </c>
      <c r="T22" s="115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</row>
    <row r="23" spans="1:48" s="87" customFormat="1" ht="15" thickBot="1" x14ac:dyDescent="0.4">
      <c r="A23" s="91"/>
      <c r="B23" s="94"/>
      <c r="C23" s="94"/>
      <c r="D23" s="94"/>
      <c r="E23" s="95"/>
      <c r="F23" s="91"/>
      <c r="G23" s="92">
        <f>SUM(G14:G20)</f>
        <v>11110.21</v>
      </c>
      <c r="H23" s="92"/>
      <c r="I23" s="93">
        <f t="shared" ref="I23" si="5">SUM(I14:I20)</f>
        <v>55621.279999999999</v>
      </c>
      <c r="J23" s="91"/>
      <c r="K23" s="94"/>
      <c r="L23" s="94"/>
      <c r="M23" s="91"/>
      <c r="N23" s="94"/>
      <c r="O23" s="95"/>
      <c r="P23"/>
      <c r="Q23" s="13"/>
      <c r="R23" s="14">
        <f>SUM(R14:R20)</f>
        <v>1524.85</v>
      </c>
      <c r="S23" s="14"/>
      <c r="T23" s="116">
        <f>SUM(T14:T22)</f>
        <v>22600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</row>
    <row r="24" spans="1:48" ht="15.5" customHeight="1" thickBot="1" x14ac:dyDescent="0.4"/>
    <row r="25" spans="1:48" x14ac:dyDescent="0.35">
      <c r="A25" s="24" t="s">
        <v>18</v>
      </c>
      <c r="B25" s="10"/>
      <c r="C25" s="10"/>
      <c r="D25" s="10"/>
      <c r="E25" s="10"/>
      <c r="F25" s="10"/>
      <c r="G25" s="10"/>
      <c r="H25" s="10"/>
      <c r="I25" s="10"/>
      <c r="J25" s="11"/>
      <c r="L25" s="24" t="s">
        <v>19</v>
      </c>
      <c r="M25" s="10"/>
      <c r="N25" s="10"/>
      <c r="O25" s="10"/>
      <c r="P25" s="10"/>
      <c r="Q25" s="10"/>
      <c r="R25" s="10"/>
      <c r="S25" s="11"/>
    </row>
    <row r="26" spans="1:48" x14ac:dyDescent="0.35">
      <c r="A26" s="25"/>
      <c r="J26" s="16"/>
      <c r="L26" s="25"/>
      <c r="S26" s="16"/>
    </row>
    <row r="27" spans="1:48" x14ac:dyDescent="0.35">
      <c r="A27" s="12"/>
      <c r="B27" s="22" t="s">
        <v>0</v>
      </c>
      <c r="C27" s="22" t="s">
        <v>1</v>
      </c>
      <c r="D27" s="22" t="s">
        <v>13</v>
      </c>
      <c r="F27" t="s">
        <v>6</v>
      </c>
      <c r="H27" t="s">
        <v>15</v>
      </c>
      <c r="I27" t="s">
        <v>16</v>
      </c>
      <c r="J27" s="16"/>
      <c r="L27" s="56" t="s">
        <v>47</v>
      </c>
      <c r="M27" s="6">
        <v>2024</v>
      </c>
      <c r="N27" s="6"/>
      <c r="O27" t="s">
        <v>6</v>
      </c>
      <c r="P27" s="6">
        <v>2023</v>
      </c>
      <c r="Q27" s="6"/>
      <c r="R27" s="6">
        <v>2022</v>
      </c>
      <c r="S27" s="117"/>
    </row>
    <row r="28" spans="1:48" x14ac:dyDescent="0.35">
      <c r="A28" s="99">
        <v>2016</v>
      </c>
      <c r="B28" s="2">
        <f>V2+R2+B2+G14+R14</f>
        <v>482.24</v>
      </c>
      <c r="C28" s="2">
        <f t="shared" ref="C28:D35" si="6">W2+S2+C2+H14+H2+S14</f>
        <v>35057</v>
      </c>
      <c r="D28" s="2">
        <f t="shared" si="6"/>
        <v>28772.850000000002</v>
      </c>
      <c r="F28" s="26">
        <f>B28/C28</f>
        <v>1.375588327580797E-2</v>
      </c>
      <c r="J28" s="16"/>
      <c r="L28" s="12" t="str">
        <f>A1</f>
        <v>WS Trade P</v>
      </c>
      <c r="M28" s="2">
        <f>C10</f>
        <v>427038</v>
      </c>
      <c r="N28" s="31">
        <f t="shared" ref="N28:N35" si="7">M28/$M$37</f>
        <v>0.56822860184291935</v>
      </c>
      <c r="O28" s="26">
        <f>B10/C10</f>
        <v>4.9625560254590924E-2</v>
      </c>
      <c r="P28" s="2">
        <f>C9</f>
        <v>154754</v>
      </c>
      <c r="Q28" s="118">
        <f>P28/$P$37</f>
        <v>0.32105025093863021</v>
      </c>
      <c r="R28" s="2">
        <f>C8</f>
        <v>137192</v>
      </c>
      <c r="S28" s="119">
        <f>R28/$R$37</f>
        <v>0.34826845651213678</v>
      </c>
    </row>
    <row r="29" spans="1:48" x14ac:dyDescent="0.35">
      <c r="A29" s="99">
        <v>2017</v>
      </c>
      <c r="B29" s="2">
        <f>V3+R3+B3+G15+R15</f>
        <v>1497.53</v>
      </c>
      <c r="C29" s="2">
        <f t="shared" si="6"/>
        <v>57847</v>
      </c>
      <c r="D29" s="2">
        <f t="shared" si="6"/>
        <v>17279.22</v>
      </c>
      <c r="F29" s="26">
        <f t="shared" ref="F29:F32" si="8">B29/C29</f>
        <v>2.5887772918215292E-2</v>
      </c>
      <c r="H29" s="26">
        <f t="shared" ref="H29:H35" si="9">(C29-D29-C28)/C28</f>
        <v>0.15719485409475992</v>
      </c>
      <c r="I29" s="27">
        <f>H29-F29</f>
        <v>0.13130708117654463</v>
      </c>
      <c r="J29" s="16"/>
      <c r="L29" s="12" t="str">
        <f>F13</f>
        <v>BNS Stocks</v>
      </c>
      <c r="M29" s="2">
        <f>H22</f>
        <v>106012</v>
      </c>
      <c r="N29" s="31">
        <f t="shared" si="7"/>
        <v>0.14106250623731745</v>
      </c>
      <c r="O29" s="26">
        <f>G22/H22</f>
        <v>4.9614666264196507E-2</v>
      </c>
      <c r="P29" s="2">
        <f>H21</f>
        <v>74790</v>
      </c>
      <c r="Q29" s="118">
        <f>P29/$P$37</f>
        <v>0.15515817534732643</v>
      </c>
      <c r="R29" s="2">
        <f>H20</f>
        <v>63460</v>
      </c>
      <c r="S29" s="119">
        <f>R29/$R$37</f>
        <v>0.16109624650315033</v>
      </c>
    </row>
    <row r="30" spans="1:48" x14ac:dyDescent="0.35">
      <c r="A30" s="99">
        <v>2018</v>
      </c>
      <c r="B30" s="2">
        <f>V4+R4+B4+G16+R16</f>
        <v>2385.25</v>
      </c>
      <c r="C30" s="2">
        <f t="shared" si="6"/>
        <v>78858</v>
      </c>
      <c r="D30" s="2">
        <f t="shared" si="6"/>
        <v>28648.06</v>
      </c>
      <c r="F30" s="26">
        <f t="shared" si="8"/>
        <v>3.0247406731086255E-2</v>
      </c>
      <c r="H30" s="26">
        <f t="shared" si="9"/>
        <v>-0.13202171244835512</v>
      </c>
      <c r="I30" s="27">
        <f t="shared" ref="I30:I36" si="10">H30-F30</f>
        <v>-0.16226911917944137</v>
      </c>
      <c r="J30" s="16"/>
      <c r="L30" s="12" t="str">
        <f>G1</f>
        <v>Canada L</v>
      </c>
      <c r="M30" s="2">
        <f>H10</f>
        <v>87557</v>
      </c>
      <c r="N30" s="31">
        <f t="shared" si="7"/>
        <v>0.11650577159775125</v>
      </c>
      <c r="O30" s="26"/>
      <c r="P30" s="2">
        <f>H9</f>
        <v>56855.94</v>
      </c>
      <c r="Q30" s="118">
        <f>P30/$P$37</f>
        <v>0.11795245230722116</v>
      </c>
      <c r="R30" s="2">
        <f>H8</f>
        <v>35308</v>
      </c>
      <c r="S30" s="119">
        <f>R30/$R$37</f>
        <v>8.9631047455613497E-2</v>
      </c>
    </row>
    <row r="31" spans="1:48" x14ac:dyDescent="0.35">
      <c r="A31" s="99">
        <v>2019</v>
      </c>
      <c r="B31" s="2">
        <f>Dividends!C11</f>
        <v>3939.1200000000003</v>
      </c>
      <c r="C31" s="2">
        <f t="shared" si="6"/>
        <v>158569.93</v>
      </c>
      <c r="D31" s="2">
        <f t="shared" si="6"/>
        <v>63704.04</v>
      </c>
      <c r="F31" s="26">
        <f t="shared" si="8"/>
        <v>2.4841532060965156E-2</v>
      </c>
      <c r="H31" s="26">
        <f t="shared" si="9"/>
        <v>0.2029963985898702</v>
      </c>
      <c r="I31" s="27">
        <f t="shared" si="10"/>
        <v>0.17815486652890505</v>
      </c>
      <c r="J31" s="16"/>
      <c r="L31" s="12" t="str">
        <f>J13</f>
        <v>WS Spousal S</v>
      </c>
      <c r="M31" s="2">
        <f>K22</f>
        <v>59543</v>
      </c>
      <c r="N31" s="31">
        <f t="shared" si="7"/>
        <v>7.9229566548019034E-2</v>
      </c>
      <c r="S31" s="16"/>
    </row>
    <row r="32" spans="1:48" x14ac:dyDescent="0.35">
      <c r="A32" s="99">
        <v>2020</v>
      </c>
      <c r="B32" s="2">
        <f>Dividends!D11</f>
        <v>8300.2799999999988</v>
      </c>
      <c r="C32" s="2">
        <f t="shared" si="6"/>
        <v>308998</v>
      </c>
      <c r="D32" s="2">
        <f t="shared" si="6"/>
        <v>125208.74</v>
      </c>
      <c r="F32" s="26">
        <f t="shared" si="8"/>
        <v>2.6861921436384696E-2</v>
      </c>
      <c r="H32" s="26">
        <f t="shared" si="9"/>
        <v>0.15904232284141145</v>
      </c>
      <c r="I32" s="27">
        <f t="shared" si="10"/>
        <v>0.13218040140502677</v>
      </c>
      <c r="J32" s="16"/>
      <c r="L32" s="12" t="str">
        <f>A13</f>
        <v>WS Trade S</v>
      </c>
      <c r="M32" s="2">
        <f>C22</f>
        <v>39411</v>
      </c>
      <c r="N32" s="31">
        <f t="shared" si="7"/>
        <v>5.2441369215927611E-2</v>
      </c>
      <c r="O32" s="26">
        <f>B22/C22</f>
        <v>2.8127172616782117E-2</v>
      </c>
      <c r="S32" s="16"/>
    </row>
    <row r="33" spans="1:19" x14ac:dyDescent="0.35">
      <c r="A33" s="99">
        <v>2021</v>
      </c>
      <c r="B33" s="2">
        <f>Dividends!E11</f>
        <v>10218.230000000001</v>
      </c>
      <c r="C33" s="2">
        <f t="shared" si="6"/>
        <v>407045</v>
      </c>
      <c r="D33" s="2">
        <f t="shared" si="6"/>
        <v>22315.739999999998</v>
      </c>
      <c r="F33" s="26">
        <f>B33/C33</f>
        <v>2.5103440651525019E-2</v>
      </c>
      <c r="H33" s="26">
        <f t="shared" si="9"/>
        <v>0.24508657013961258</v>
      </c>
      <c r="I33" s="27">
        <f t="shared" si="10"/>
        <v>0.21998312948808757</v>
      </c>
      <c r="J33" s="16"/>
      <c r="L33" s="12" t="str">
        <f>M13</f>
        <v>WS TFSA S</v>
      </c>
      <c r="M33" s="2">
        <f>N22</f>
        <v>31964</v>
      </c>
      <c r="N33" s="31">
        <f t="shared" si="7"/>
        <v>4.2532184558065268E-2</v>
      </c>
      <c r="S33" s="16"/>
    </row>
    <row r="34" spans="1:19" x14ac:dyDescent="0.35">
      <c r="A34" s="99">
        <v>2022</v>
      </c>
      <c r="B34" s="2">
        <f>Dividends!G11</f>
        <v>11907.47</v>
      </c>
      <c r="C34" s="2">
        <f t="shared" si="6"/>
        <v>393928</v>
      </c>
      <c r="D34" s="2">
        <f t="shared" si="6"/>
        <v>46800.1</v>
      </c>
      <c r="F34" s="26">
        <f>B34/C34</f>
        <v>3.0227528888527852E-2</v>
      </c>
      <c r="H34" s="26">
        <f t="shared" si="9"/>
        <v>-0.14720018671154289</v>
      </c>
      <c r="I34" s="27">
        <f t="shared" si="10"/>
        <v>-0.17742771560007076</v>
      </c>
      <c r="J34" s="16"/>
      <c r="L34" s="12" t="str">
        <f>U1</f>
        <v>TD P</v>
      </c>
      <c r="M34" s="2">
        <f>W10</f>
        <v>115</v>
      </c>
      <c r="N34" s="31">
        <f t="shared" si="7"/>
        <v>1.530221882172915E-4</v>
      </c>
      <c r="O34" s="26"/>
      <c r="P34" s="2">
        <f>W9</f>
        <v>163382.29</v>
      </c>
      <c r="Q34" s="118">
        <f>P34/$P$37</f>
        <v>0.33895036770247011</v>
      </c>
      <c r="R34" s="2">
        <f>W8</f>
        <v>134856</v>
      </c>
      <c r="S34" s="119">
        <f>R34/$R$37</f>
        <v>0.34233840873666627</v>
      </c>
    </row>
    <row r="35" spans="1:19" x14ac:dyDescent="0.35">
      <c r="A35" s="99">
        <v>2023</v>
      </c>
      <c r="B35" s="2">
        <f>Dividends!J11</f>
        <v>23009.370000000003</v>
      </c>
      <c r="C35" s="2">
        <f t="shared" si="6"/>
        <v>480001.23000000004</v>
      </c>
      <c r="D35" s="2">
        <f t="shared" si="6"/>
        <v>29794.04</v>
      </c>
      <c r="F35" s="26">
        <f>B35/C35</f>
        <v>4.79360646638343E-2</v>
      </c>
      <c r="H35" s="26">
        <f t="shared" si="9"/>
        <v>0.14286669137507377</v>
      </c>
      <c r="I35" s="27">
        <f t="shared" si="10"/>
        <v>9.4930626711239474E-2</v>
      </c>
      <c r="J35" s="16"/>
      <c r="L35" s="12" t="str">
        <f>Q13</f>
        <v>QT S</v>
      </c>
      <c r="M35" s="2">
        <f>S22</f>
        <v>228</v>
      </c>
      <c r="N35" s="31">
        <f t="shared" si="7"/>
        <v>3.0338312098732579E-4</v>
      </c>
      <c r="O35" s="26"/>
      <c r="P35" s="2">
        <f>S21</f>
        <v>30219</v>
      </c>
      <c r="Q35" s="118">
        <f>P35/$P$37</f>
        <v>6.2691869244830292E-2</v>
      </c>
      <c r="R35" s="2">
        <f>S20</f>
        <v>23110</v>
      </c>
      <c r="S35" s="119">
        <f>R35/$R$37</f>
        <v>5.8665840792433095E-2</v>
      </c>
    </row>
    <row r="36" spans="1:19" x14ac:dyDescent="0.35">
      <c r="A36" s="99">
        <v>2024</v>
      </c>
      <c r="B36" s="2">
        <f>Dividends!L11</f>
        <v>30126.75</v>
      </c>
      <c r="C36" s="2">
        <f>W10+C10+H22+H10+S22+S22+C22+K22+N22</f>
        <v>752096</v>
      </c>
      <c r="D36" s="2">
        <f>T22+I10+I22+L22+D10+D22</f>
        <v>79662.760000000009</v>
      </c>
      <c r="F36" s="26">
        <f>B36/C36</f>
        <v>4.0057053886737866E-2</v>
      </c>
      <c r="H36" s="26">
        <f>(C36-D36-C35)/C35</f>
        <v>0.4008989935296623</v>
      </c>
      <c r="I36" s="27">
        <f t="shared" si="10"/>
        <v>0.36084193964292444</v>
      </c>
      <c r="J36" s="16"/>
      <c r="L36" s="12"/>
      <c r="S36" s="16"/>
    </row>
    <row r="37" spans="1:19" x14ac:dyDescent="0.35">
      <c r="A37" s="12"/>
      <c r="B37" s="2"/>
      <c r="C37" s="2"/>
      <c r="D37" s="2"/>
      <c r="F37" s="26"/>
      <c r="H37" s="26"/>
      <c r="I37" s="27"/>
      <c r="J37" s="16"/>
      <c r="L37" s="57"/>
      <c r="M37" s="2">
        <f>SUM(M28:M33)</f>
        <v>751525</v>
      </c>
      <c r="N37" s="31">
        <f>(M37-P37)/P37</f>
        <v>0.55910212231447376</v>
      </c>
      <c r="P37" s="2">
        <f>SUM(P27:P35)</f>
        <v>482024.23</v>
      </c>
      <c r="Q37" s="118">
        <f>P37/R37-1</f>
        <v>0.22364157227499581</v>
      </c>
      <c r="R37" s="2">
        <f>SUM(R28:R35)</f>
        <v>393926</v>
      </c>
      <c r="S37" s="16"/>
    </row>
    <row r="38" spans="1:19" ht="15" thickBot="1" x14ac:dyDescent="0.4">
      <c r="A38" s="28" t="s">
        <v>17</v>
      </c>
      <c r="B38" s="14">
        <f>SUM(B28:B36)</f>
        <v>91866.240000000005</v>
      </c>
      <c r="C38" s="15"/>
      <c r="D38" s="14">
        <f>SUM(D28:D36)</f>
        <v>442185.55</v>
      </c>
      <c r="E38" s="15"/>
      <c r="F38" s="29"/>
      <c r="G38" s="15"/>
      <c r="H38" s="29">
        <f>SUM(H29:H37)</f>
        <v>1.0288639314104921</v>
      </c>
      <c r="I38" s="30"/>
      <c r="J38" s="17"/>
      <c r="L38" s="13"/>
      <c r="M38" s="15"/>
      <c r="N38" s="15"/>
      <c r="O38" s="15"/>
      <c r="P38" s="15"/>
      <c r="Q38" s="15"/>
      <c r="R38" s="15"/>
      <c r="S38" s="17"/>
    </row>
    <row r="40" spans="1:19" hidden="1" x14ac:dyDescent="0.35">
      <c r="F40" s="5">
        <v>0.08</v>
      </c>
      <c r="G40" t="s">
        <v>7</v>
      </c>
    </row>
    <row r="41" spans="1:19" hidden="1" x14ac:dyDescent="0.35">
      <c r="A41" s="19">
        <v>2023</v>
      </c>
      <c r="B41" s="18">
        <f>Dividends!J11</f>
        <v>23009.370000000003</v>
      </c>
      <c r="C41" s="18">
        <f>C34*1.05+D41</f>
        <v>442269.5</v>
      </c>
      <c r="D41" s="18">
        <f>I20+I8+T20+2000</f>
        <v>28645.1</v>
      </c>
      <c r="F41" s="2">
        <f>F40*C34</f>
        <v>31514.240000000002</v>
      </c>
      <c r="G41" t="s">
        <v>8</v>
      </c>
    </row>
    <row r="42" spans="1:19" hidden="1" x14ac:dyDescent="0.35">
      <c r="F42" s="4">
        <f>B41/C41</f>
        <v>5.2025676651905689E-2</v>
      </c>
    </row>
    <row r="43" spans="1:19" hidden="1" x14ac:dyDescent="0.35"/>
    <row r="44" spans="1:19" x14ac:dyDescent="0.35">
      <c r="N44" s="78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5797F-B3BE-4133-89EA-D4609D824D0E}">
  <dimension ref="A1:O13"/>
  <sheetViews>
    <sheetView showGridLines="0" zoomScale="150" zoomScaleNormal="150" workbookViewId="0">
      <selection activeCell="N13" sqref="N13"/>
    </sheetView>
  </sheetViews>
  <sheetFormatPr defaultRowHeight="14.5" x14ac:dyDescent="0.35"/>
  <cols>
    <col min="2" max="2" width="6.453125" customWidth="1"/>
    <col min="6" max="6" width="0" hidden="1" customWidth="1"/>
    <col min="8" max="8" width="11.08984375" hidden="1" customWidth="1"/>
    <col min="9" max="9" width="4.453125" style="51" hidden="1" customWidth="1"/>
    <col min="10" max="10" width="8.7265625" customWidth="1"/>
    <col min="11" max="11" width="4" style="42" hidden="1" customWidth="1"/>
    <col min="12" max="12" width="8.90625" customWidth="1"/>
    <col min="13" max="13" width="5.54296875" style="46" customWidth="1"/>
    <col min="14" max="14" width="10.1796875" style="19" bestFit="1" customWidth="1"/>
    <col min="15" max="15" width="10.08984375" bestFit="1" customWidth="1"/>
  </cols>
  <sheetData>
    <row r="1" spans="1:15" s="22" customFormat="1" x14ac:dyDescent="0.35">
      <c r="C1" s="6">
        <v>2019</v>
      </c>
      <c r="D1" s="6">
        <v>2020</v>
      </c>
      <c r="E1" s="6">
        <v>2021</v>
      </c>
      <c r="F1" s="6" t="s">
        <v>2</v>
      </c>
      <c r="G1" s="6">
        <v>2022</v>
      </c>
      <c r="H1" s="21">
        <v>2023</v>
      </c>
      <c r="I1" s="51"/>
      <c r="J1" s="6">
        <v>2023</v>
      </c>
      <c r="K1" s="43"/>
      <c r="L1" s="6">
        <v>2024</v>
      </c>
      <c r="M1" s="45"/>
      <c r="N1" s="171">
        <v>2025</v>
      </c>
      <c r="O1" s="171"/>
    </row>
    <row r="2" spans="1:15" ht="6.5" customHeight="1" x14ac:dyDescent="0.35">
      <c r="C2" s="6"/>
      <c r="D2" s="6"/>
      <c r="E2" s="6"/>
      <c r="F2" s="6"/>
      <c r="G2" s="6"/>
      <c r="H2" s="21"/>
      <c r="J2" s="6"/>
      <c r="K2" s="43"/>
    </row>
    <row r="3" spans="1:15" x14ac:dyDescent="0.35">
      <c r="N3" s="131" t="s">
        <v>140</v>
      </c>
      <c r="O3" s="131" t="s">
        <v>141</v>
      </c>
    </row>
    <row r="4" spans="1:15" x14ac:dyDescent="0.35">
      <c r="A4" t="s">
        <v>35</v>
      </c>
      <c r="C4" s="1">
        <v>0</v>
      </c>
      <c r="D4" s="1">
        <f>32.16+29.18+45.57+50.3+6.8</f>
        <v>164.01</v>
      </c>
      <c r="E4" s="1">
        <f>71.18+29.46+54.02+47.88+30.08+60.27+46.71+28.93+45.57+55.1+29.27+34.99</f>
        <v>533.45999999999992</v>
      </c>
      <c r="F4" s="3">
        <f>G4/E4-1</f>
        <v>3.3227795898474115</v>
      </c>
      <c r="G4" s="1">
        <f>464.77+147.52+191.29+413.01+147.42+147.35+419.15+49.26+73.51+148.5+30.11+74.14</f>
        <v>2306.0299999999997</v>
      </c>
      <c r="H4" s="18">
        <v>8000</v>
      </c>
      <c r="I4" s="47">
        <f>J4/G4-1</f>
        <v>3.7539971292654473</v>
      </c>
      <c r="J4" s="1">
        <f>187.46+150.56+838.26+705.74+914.09+1537.85+953.93+942.81+1484.11+910.42+880.99+1456.64</f>
        <v>10962.859999999999</v>
      </c>
      <c r="K4" s="39">
        <f>L4/J4-1</f>
        <v>0.93307220925926293</v>
      </c>
      <c r="L4" s="1">
        <f>1056+946+1644+1758+1435+2428+1763+1454+2194+2154+1527+2833</f>
        <v>21192</v>
      </c>
      <c r="M4" s="47">
        <f>N4/L4-1</f>
        <v>0.35247263118157801</v>
      </c>
      <c r="N4" s="23">
        <f>(2154+1527+2833)*4*1.1</f>
        <v>28661.600000000002</v>
      </c>
      <c r="O4" s="23">
        <f>SUM('Breakdow stocks - 17Mar25'!T2:T22)</f>
        <v>24141.116842595999</v>
      </c>
    </row>
    <row r="5" spans="1:15" x14ac:dyDescent="0.35">
      <c r="A5" t="s">
        <v>37</v>
      </c>
      <c r="C5" s="1"/>
      <c r="D5" s="1"/>
      <c r="E5" s="1"/>
      <c r="F5" s="3"/>
      <c r="G5" s="1"/>
      <c r="H5" s="18"/>
      <c r="I5" s="47"/>
      <c r="J5" s="1"/>
      <c r="K5" s="39"/>
      <c r="L5" s="1">
        <f>12.76+47.42+51.2+64.67+53.68+52.97+69.72+42.62+46.92+65.29</f>
        <v>507.25000000000011</v>
      </c>
      <c r="M5" s="47">
        <f t="shared" ref="M5:M7" si="0">N5/L5-1</f>
        <v>5.505667816658451</v>
      </c>
      <c r="N5" s="18">
        <v>3300</v>
      </c>
      <c r="O5" s="18">
        <f>SUM('Breakdow stocks - 17Mar25'!T22:T29)</f>
        <v>2936.48828718</v>
      </c>
    </row>
    <row r="6" spans="1:15" x14ac:dyDescent="0.35">
      <c r="A6" t="s">
        <v>38</v>
      </c>
      <c r="C6" s="1"/>
      <c r="D6" s="1"/>
      <c r="E6" s="1"/>
      <c r="F6" s="3"/>
      <c r="G6" s="1"/>
      <c r="H6" s="18"/>
      <c r="I6" s="47"/>
      <c r="J6" s="1"/>
      <c r="K6" s="39"/>
      <c r="L6" s="1">
        <f>157.01+172.69+142.19+164.42+141.18+122.75+115.7+92.58</f>
        <v>1108.52</v>
      </c>
      <c r="M6" s="47">
        <f t="shared" si="0"/>
        <v>0.44336592934723784</v>
      </c>
      <c r="N6" s="18">
        <v>1600</v>
      </c>
      <c r="O6" s="18">
        <f>SUM('Breakdow stocks - 17Mar25'!T30:T31)</f>
        <v>1423.1569999999999</v>
      </c>
    </row>
    <row r="7" spans="1:15" x14ac:dyDescent="0.35">
      <c r="A7" t="s">
        <v>10</v>
      </c>
      <c r="C7" s="1">
        <v>1406.32</v>
      </c>
      <c r="D7" s="1">
        <v>1983.81</v>
      </c>
      <c r="E7" s="1">
        <f>208.02+219.67+231.83+242.8+385.87+405.8+426.52+445.27</f>
        <v>2565.7800000000002</v>
      </c>
      <c r="F7" s="3">
        <f t="shared" ref="F7:F8" si="1">G7/E7-1</f>
        <v>0.34868928746813821</v>
      </c>
      <c r="G7" s="1">
        <v>3460.44</v>
      </c>
      <c r="H7" s="18">
        <f>G7*(1+F7)</f>
        <v>4667.0583579262438</v>
      </c>
      <c r="I7" s="47">
        <f t="shared" ref="I7:I11" si="2">J7/G7-1</f>
        <v>0.24087688270855745</v>
      </c>
      <c r="J7" s="1">
        <f>350.92+367.28+397.99+417.02+634.34+662.33+715.76+748.34</f>
        <v>4293.9800000000005</v>
      </c>
      <c r="K7" s="39">
        <f t="shared" ref="K7" si="3">L7/J7-1</f>
        <v>0.22491255199139237</v>
      </c>
      <c r="L7" s="1">
        <f>440+460.95+483.45+504+788.6+823.53+861.96+897.26</f>
        <v>5259.75</v>
      </c>
      <c r="M7" s="47">
        <f t="shared" si="0"/>
        <v>0.24087688270855745</v>
      </c>
      <c r="N7" s="18">
        <f>L7*(1+I7)</f>
        <v>6526.7021838263354</v>
      </c>
      <c r="O7" s="18">
        <f>'Breakdow stocks - 17Mar25'!T37</f>
        <v>5953.2825999999995</v>
      </c>
    </row>
    <row r="8" spans="1:15" x14ac:dyDescent="0.35">
      <c r="A8" t="s">
        <v>11</v>
      </c>
      <c r="C8" s="7">
        <v>2086.3200000000002</v>
      </c>
      <c r="D8" s="7">
        <v>3832.35</v>
      </c>
      <c r="E8" s="7">
        <v>4218.54</v>
      </c>
      <c r="F8" s="3">
        <f t="shared" si="1"/>
        <v>0.1314909897737131</v>
      </c>
      <c r="G8" s="7">
        <v>4773.24</v>
      </c>
      <c r="H8" s="18">
        <v>6000</v>
      </c>
      <c r="I8" s="47">
        <f t="shared" si="2"/>
        <v>0.39848614358381318</v>
      </c>
      <c r="J8" s="20">
        <v>6675.31</v>
      </c>
      <c r="K8" s="39"/>
      <c r="L8" s="7">
        <v>1790.73</v>
      </c>
      <c r="M8" s="47"/>
    </row>
    <row r="9" spans="1:15" x14ac:dyDescent="0.35">
      <c r="A9" t="s">
        <v>39</v>
      </c>
      <c r="C9" s="1">
        <v>369.48</v>
      </c>
      <c r="D9" s="1">
        <v>2029.11</v>
      </c>
      <c r="E9" s="1">
        <f>637.4+1845.88</f>
        <v>2483.2800000000002</v>
      </c>
      <c r="F9" s="3">
        <f>G9/E9-1</f>
        <v>-0.74438645662188718</v>
      </c>
      <c r="G9" s="1">
        <f>340.96+(226*1.3)</f>
        <v>634.76</v>
      </c>
      <c r="H9" s="18">
        <v>0</v>
      </c>
    </row>
    <row r="10" spans="1:15" x14ac:dyDescent="0.35">
      <c r="A10" t="s">
        <v>36</v>
      </c>
      <c r="C10" s="1">
        <v>77</v>
      </c>
      <c r="D10" s="1">
        <v>291</v>
      </c>
      <c r="E10" s="1">
        <v>417.17</v>
      </c>
      <c r="F10" s="3">
        <f>G10/E10-1</f>
        <v>0.75707745043986852</v>
      </c>
      <c r="G10" s="1">
        <v>733</v>
      </c>
      <c r="H10" s="18">
        <v>1000</v>
      </c>
      <c r="I10" s="47">
        <f>J10/G10-1</f>
        <v>0.46960436562073671</v>
      </c>
      <c r="J10" s="1">
        <v>1077.22</v>
      </c>
      <c r="K10" s="39"/>
      <c r="L10" s="1">
        <v>268.5</v>
      </c>
      <c r="M10" s="47"/>
      <c r="N10" s="18"/>
    </row>
    <row r="11" spans="1:15" x14ac:dyDescent="0.35">
      <c r="A11" s="8" t="s">
        <v>12</v>
      </c>
      <c r="B11" s="8"/>
      <c r="C11" s="9">
        <f>SUM(C3:C10)</f>
        <v>3939.1200000000003</v>
      </c>
      <c r="D11" s="9">
        <f t="shared" ref="D11:G11" si="4">SUM(D3:D10)</f>
        <v>8300.2799999999988</v>
      </c>
      <c r="E11" s="9">
        <f t="shared" si="4"/>
        <v>10218.230000000001</v>
      </c>
      <c r="F11" s="9">
        <f t="shared" si="4"/>
        <v>3.8156508609072439</v>
      </c>
      <c r="G11" s="9">
        <f t="shared" si="4"/>
        <v>11907.47</v>
      </c>
      <c r="H11" s="18">
        <f>SUM(H3:H8)</f>
        <v>18667.058357926246</v>
      </c>
      <c r="I11" s="47">
        <f t="shared" si="2"/>
        <v>0.9323475095885192</v>
      </c>
      <c r="J11" s="9">
        <f>SUM(J4:J10)</f>
        <v>23009.370000000003</v>
      </c>
      <c r="K11" s="39">
        <f>L11/J11-1</f>
        <v>0.30932528791531433</v>
      </c>
      <c r="L11" s="37">
        <f>SUM(L4:L10)</f>
        <v>30126.75</v>
      </c>
      <c r="M11" s="48"/>
      <c r="N11" s="23">
        <f>SUM(N4:N10)</f>
        <v>40088.302183826338</v>
      </c>
      <c r="O11" s="23">
        <f>SUM(O4:O10)</f>
        <v>34454.044729775997</v>
      </c>
    </row>
    <row r="12" spans="1:15" s="42" customFormat="1" ht="12" x14ac:dyDescent="0.3">
      <c r="A12" s="38"/>
      <c r="B12" s="38"/>
      <c r="C12" s="38"/>
      <c r="D12" s="39">
        <f>D11/C11-1</f>
        <v>1.1071406811673667</v>
      </c>
      <c r="E12" s="39">
        <f>E11/D11-1</f>
        <v>0.23107051810300416</v>
      </c>
      <c r="F12" s="39">
        <f t="shared" ref="F12" si="5">F11/E11-1</f>
        <v>-0.99962658397189075</v>
      </c>
      <c r="G12" s="39">
        <f>G11/E11-1</f>
        <v>0.16531630233416128</v>
      </c>
      <c r="H12" s="40"/>
      <c r="I12" s="46"/>
      <c r="J12" s="39">
        <f>J11/G11-1</f>
        <v>0.9323475095885192</v>
      </c>
      <c r="K12" s="39"/>
      <c r="L12" s="41">
        <f>L11/J11-1</f>
        <v>0.30932528791531433</v>
      </c>
      <c r="M12" s="49"/>
      <c r="N12" s="41">
        <f>N11/L11-1</f>
        <v>0.3306547232551249</v>
      </c>
      <c r="O12" s="53"/>
    </row>
    <row r="13" spans="1:15" x14ac:dyDescent="0.35">
      <c r="A13" s="8" t="s">
        <v>20</v>
      </c>
      <c r="B13" s="8"/>
      <c r="C13" s="9">
        <f>C11/12</f>
        <v>328.26000000000005</v>
      </c>
      <c r="D13" s="9">
        <f>D11/12</f>
        <v>691.68999999999994</v>
      </c>
      <c r="E13" s="9">
        <f>E11/12</f>
        <v>851.51916666666682</v>
      </c>
      <c r="F13" s="9"/>
      <c r="G13" s="9">
        <f t="shared" ref="G13:J13" si="6">G11/12</f>
        <v>992.28916666666657</v>
      </c>
      <c r="H13" s="9">
        <f t="shared" si="6"/>
        <v>1555.5881964938537</v>
      </c>
      <c r="I13" s="52"/>
      <c r="J13" s="9">
        <f t="shared" si="6"/>
        <v>1917.4475000000002</v>
      </c>
      <c r="K13" s="44"/>
      <c r="L13" s="9">
        <f>L11/12</f>
        <v>2510.5625</v>
      </c>
      <c r="M13" s="50"/>
      <c r="N13" s="32">
        <f>N11/12</f>
        <v>3340.6918486521949</v>
      </c>
      <c r="O13" s="2">
        <f>O11/12</f>
        <v>2871.1703941479996</v>
      </c>
    </row>
  </sheetData>
  <mergeCells count="1">
    <mergeCell ref="N1:O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8D481-1197-41A2-B03C-C32F4C4FFB0E}">
  <dimension ref="B2:F15"/>
  <sheetViews>
    <sheetView workbookViewId="0">
      <selection activeCell="F18" sqref="F18"/>
    </sheetView>
  </sheetViews>
  <sheetFormatPr defaultRowHeight="14.5" x14ac:dyDescent="0.35"/>
  <cols>
    <col min="2" max="2" width="14" customWidth="1"/>
    <col min="3" max="3" width="11.81640625" customWidth="1"/>
    <col min="4" max="4" width="20.1796875" bestFit="1" customWidth="1"/>
    <col min="5" max="5" width="11.453125" customWidth="1"/>
  </cols>
  <sheetData>
    <row r="2" spans="2:6" x14ac:dyDescent="0.35">
      <c r="B2" s="34" t="s">
        <v>21</v>
      </c>
      <c r="C2" s="34" t="s">
        <v>24</v>
      </c>
      <c r="D2" s="34" t="s">
        <v>22</v>
      </c>
      <c r="E2" s="34" t="s">
        <v>23</v>
      </c>
    </row>
    <row r="3" spans="2:6" x14ac:dyDescent="0.35">
      <c r="B3" s="35" t="s">
        <v>34</v>
      </c>
      <c r="C3" s="35" t="s">
        <v>26</v>
      </c>
      <c r="D3" s="35" t="s">
        <v>25</v>
      </c>
      <c r="E3" s="36">
        <v>373335</v>
      </c>
    </row>
    <row r="4" spans="2:6" x14ac:dyDescent="0.35">
      <c r="B4" s="35" t="s">
        <v>34</v>
      </c>
      <c r="C4" s="35" t="s">
        <v>27</v>
      </c>
      <c r="D4" s="35" t="s">
        <v>28</v>
      </c>
      <c r="E4" s="36">
        <v>54947</v>
      </c>
    </row>
    <row r="5" spans="2:6" x14ac:dyDescent="0.35">
      <c r="B5" s="35" t="s">
        <v>34</v>
      </c>
      <c r="C5" s="35" t="s">
        <v>26</v>
      </c>
      <c r="D5" s="35" t="s">
        <v>28</v>
      </c>
      <c r="E5" s="36">
        <v>50306</v>
      </c>
    </row>
    <row r="6" spans="2:6" x14ac:dyDescent="0.35">
      <c r="B6" s="35" t="s">
        <v>34</v>
      </c>
      <c r="C6" s="35" t="s">
        <v>29</v>
      </c>
      <c r="D6" s="35" t="s">
        <v>28</v>
      </c>
      <c r="E6" s="36">
        <v>40654</v>
      </c>
    </row>
    <row r="7" spans="2:6" x14ac:dyDescent="0.35">
      <c r="B7" s="35" t="s">
        <v>30</v>
      </c>
      <c r="C7" s="35" t="s">
        <v>26</v>
      </c>
      <c r="D7" s="35" t="s">
        <v>28</v>
      </c>
      <c r="E7" s="36">
        <v>81066</v>
      </c>
    </row>
    <row r="8" spans="2:6" x14ac:dyDescent="0.35">
      <c r="B8" s="35" t="s">
        <v>31</v>
      </c>
      <c r="C8" s="35" t="s">
        <v>26</v>
      </c>
      <c r="D8" s="35" t="s">
        <v>25</v>
      </c>
      <c r="E8" s="36">
        <v>66000</v>
      </c>
    </row>
    <row r="9" spans="2:6" x14ac:dyDescent="0.35">
      <c r="B9" s="35" t="s">
        <v>9</v>
      </c>
      <c r="C9" s="35" t="s">
        <v>29</v>
      </c>
      <c r="D9" s="35" t="s">
        <v>28</v>
      </c>
      <c r="E9" s="36">
        <v>34248</v>
      </c>
    </row>
    <row r="10" spans="2:6" x14ac:dyDescent="0.35">
      <c r="E10" s="9">
        <f>SUM(E3:E9)</f>
        <v>700556</v>
      </c>
    </row>
    <row r="12" spans="2:6" x14ac:dyDescent="0.35">
      <c r="B12" t="s">
        <v>32</v>
      </c>
      <c r="C12" t="s">
        <v>26</v>
      </c>
      <c r="D12" t="s">
        <v>25</v>
      </c>
      <c r="E12" s="2">
        <v>205088</v>
      </c>
      <c r="F12" t="s">
        <v>33</v>
      </c>
    </row>
    <row r="13" spans="2:6" x14ac:dyDescent="0.35">
      <c r="E13" s="1"/>
      <c r="F13" s="33"/>
    </row>
    <row r="14" spans="2:6" x14ac:dyDescent="0.35">
      <c r="E14" s="1"/>
      <c r="F14" s="33"/>
    </row>
    <row r="15" spans="2:6" x14ac:dyDescent="0.35">
      <c r="E15" s="1"/>
      <c r="F15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3082-DB9E-4861-99B2-12CECF528387}">
  <dimension ref="A1:XFD47"/>
  <sheetViews>
    <sheetView topLeftCell="E1" zoomScale="90" zoomScaleNormal="90" workbookViewId="0">
      <selection activeCell="U1" sqref="U1"/>
    </sheetView>
  </sheetViews>
  <sheetFormatPr defaultRowHeight="14.5" x14ac:dyDescent="0.35"/>
  <cols>
    <col min="1" max="1" width="3.1796875" customWidth="1"/>
    <col min="2" max="2" width="12.08984375" style="168" customWidth="1"/>
    <col min="3" max="3" width="10.26953125" style="168" customWidth="1"/>
    <col min="4" max="4" width="9.90625" customWidth="1"/>
    <col min="5" max="5" width="8.54296875" customWidth="1"/>
    <col min="6" max="6" width="5.453125" customWidth="1"/>
    <col min="7" max="7" width="12.26953125" style="168" bestFit="1" customWidth="1"/>
    <col min="8" max="8" width="13.1796875" customWidth="1"/>
    <col min="11" max="11" width="7.1796875" customWidth="1"/>
    <col min="12" max="13" width="11.54296875" bestFit="1" customWidth="1"/>
    <col min="14" max="14" width="9.08984375" bestFit="1" customWidth="1"/>
    <col min="16" max="18" width="8.7265625" style="3"/>
    <col min="19" max="19" width="12.08984375" customWidth="1"/>
    <col min="20" max="20" width="9.7265625" customWidth="1"/>
  </cols>
  <sheetData>
    <row r="1" spans="1:22" s="123" customFormat="1" ht="38" customHeight="1" thickBot="1" x14ac:dyDescent="0.4">
      <c r="B1" s="166" t="s">
        <v>47</v>
      </c>
      <c r="C1" s="166" t="s">
        <v>48</v>
      </c>
      <c r="D1" s="121" t="s">
        <v>58</v>
      </c>
      <c r="E1" s="121" t="s">
        <v>57</v>
      </c>
      <c r="F1" s="121" t="s">
        <v>81</v>
      </c>
      <c r="G1" s="166" t="s">
        <v>49</v>
      </c>
      <c r="H1" s="121" t="s">
        <v>54</v>
      </c>
      <c r="I1" s="121" t="s">
        <v>53</v>
      </c>
      <c r="J1" s="121" t="s">
        <v>89</v>
      </c>
      <c r="K1" s="121" t="s">
        <v>52</v>
      </c>
      <c r="L1" s="121" t="s">
        <v>60</v>
      </c>
      <c r="M1" s="121" t="s">
        <v>50</v>
      </c>
      <c r="N1" s="121" t="s">
        <v>95</v>
      </c>
      <c r="O1" s="121" t="s">
        <v>51</v>
      </c>
      <c r="P1" s="122" t="s">
        <v>121</v>
      </c>
      <c r="Q1" s="122" t="s">
        <v>122</v>
      </c>
      <c r="R1" s="122" t="s">
        <v>142</v>
      </c>
      <c r="S1" s="123" t="s">
        <v>152</v>
      </c>
      <c r="T1" s="123" t="s">
        <v>139</v>
      </c>
      <c r="U1" s="123" t="s">
        <v>154</v>
      </c>
      <c r="V1" s="123">
        <v>1.4400200000000001</v>
      </c>
    </row>
    <row r="2" spans="1:22" x14ac:dyDescent="0.35">
      <c r="A2" s="132">
        <v>1</v>
      </c>
      <c r="B2" s="167" t="s">
        <v>40</v>
      </c>
      <c r="C2" s="167" t="s">
        <v>61</v>
      </c>
      <c r="D2" s="10" t="s">
        <v>62</v>
      </c>
      <c r="E2" s="10" t="s">
        <v>63</v>
      </c>
      <c r="F2" s="10" t="s">
        <v>83</v>
      </c>
      <c r="G2" s="167" t="s">
        <v>64</v>
      </c>
      <c r="H2" s="10" t="s">
        <v>65</v>
      </c>
      <c r="I2" s="10" t="s">
        <v>59</v>
      </c>
      <c r="J2" s="10"/>
      <c r="K2" s="133">
        <v>1.41E-2</v>
      </c>
      <c r="L2" s="134">
        <v>2933</v>
      </c>
      <c r="M2" s="134">
        <v>5831</v>
      </c>
      <c r="N2" s="134">
        <f t="shared" ref="N2:N31" si="0">M2-L2</f>
        <v>2898</v>
      </c>
      <c r="O2" s="135">
        <v>0</v>
      </c>
      <c r="P2" s="135">
        <v>0.22339999999999999</v>
      </c>
      <c r="Q2" s="135">
        <v>0.59299999999999997</v>
      </c>
      <c r="R2" s="135" t="s">
        <v>143</v>
      </c>
      <c r="S2" s="135">
        <v>0.62470000000000003</v>
      </c>
      <c r="T2" s="136">
        <f>O2*M2</f>
        <v>0</v>
      </c>
      <c r="U2" s="11"/>
    </row>
    <row r="3" spans="1:22" x14ac:dyDescent="0.35">
      <c r="A3" s="137">
        <v>2</v>
      </c>
      <c r="B3" s="168" t="s">
        <v>40</v>
      </c>
      <c r="C3" s="168" t="s">
        <v>66</v>
      </c>
      <c r="D3" t="s">
        <v>21</v>
      </c>
      <c r="E3" t="s">
        <v>67</v>
      </c>
      <c r="F3" t="s">
        <v>83</v>
      </c>
      <c r="G3" s="168" t="s">
        <v>68</v>
      </c>
      <c r="H3" t="s">
        <v>56</v>
      </c>
      <c r="I3" t="s">
        <v>59</v>
      </c>
      <c r="J3" t="s">
        <v>94</v>
      </c>
      <c r="K3" s="138">
        <v>0</v>
      </c>
      <c r="L3" s="139">
        <v>14915</v>
      </c>
      <c r="M3" s="139">
        <v>16342</v>
      </c>
      <c r="N3" s="139">
        <f t="shared" si="0"/>
        <v>1427</v>
      </c>
      <c r="O3" s="140">
        <v>4.6399999999999997E-2</v>
      </c>
      <c r="P3" s="140">
        <v>0.20219999999999999</v>
      </c>
      <c r="Q3" s="140">
        <v>1.018</v>
      </c>
      <c r="R3" s="140"/>
      <c r="T3" s="141">
        <f t="shared" ref="T3:T46" si="1">O3*M3</f>
        <v>758.26879999999994</v>
      </c>
      <c r="U3" s="16"/>
    </row>
    <row r="4" spans="1:22" x14ac:dyDescent="0.35">
      <c r="A4" s="137">
        <v>3</v>
      </c>
      <c r="B4" s="168" t="s">
        <v>40</v>
      </c>
      <c r="C4" s="168" t="s">
        <v>69</v>
      </c>
      <c r="D4" t="s">
        <v>21</v>
      </c>
      <c r="E4" t="s">
        <v>63</v>
      </c>
      <c r="F4" t="s">
        <v>83</v>
      </c>
      <c r="G4" s="168" t="s">
        <v>144</v>
      </c>
      <c r="H4" t="s">
        <v>71</v>
      </c>
      <c r="I4" t="s">
        <v>70</v>
      </c>
      <c r="K4" s="138">
        <v>0</v>
      </c>
      <c r="L4" s="139">
        <f>2372*$V$1</f>
        <v>3415.7274400000001</v>
      </c>
      <c r="M4" s="139">
        <f>3197*$V$1</f>
        <v>4603.7439400000003</v>
      </c>
      <c r="N4" s="139">
        <f t="shared" si="0"/>
        <v>1188.0165000000002</v>
      </c>
      <c r="O4" s="140">
        <v>5.0000000000000001E-3</v>
      </c>
      <c r="P4" s="140">
        <v>0.2581</v>
      </c>
      <c r="Q4" s="140">
        <v>2.3058000000000001</v>
      </c>
      <c r="R4" s="140"/>
      <c r="T4" s="141">
        <f t="shared" si="1"/>
        <v>23.018719700000002</v>
      </c>
      <c r="U4" s="16"/>
    </row>
    <row r="5" spans="1:22" x14ac:dyDescent="0.35">
      <c r="A5" s="137">
        <v>4</v>
      </c>
      <c r="B5" s="168" t="s">
        <v>40</v>
      </c>
      <c r="C5" s="168" t="s">
        <v>148</v>
      </c>
      <c r="D5" t="s">
        <v>62</v>
      </c>
      <c r="E5" t="s">
        <v>63</v>
      </c>
      <c r="F5" t="s">
        <v>83</v>
      </c>
      <c r="G5" s="168" t="s">
        <v>138</v>
      </c>
      <c r="H5" t="s">
        <v>71</v>
      </c>
      <c r="I5" t="s">
        <v>59</v>
      </c>
      <c r="K5" s="138">
        <v>6.3E-3</v>
      </c>
      <c r="L5" s="139">
        <v>2271</v>
      </c>
      <c r="M5" s="139">
        <v>2953</v>
      </c>
      <c r="N5" s="139">
        <f t="shared" si="0"/>
        <v>682</v>
      </c>
      <c r="O5" s="140">
        <v>2.3E-3</v>
      </c>
      <c r="P5" s="140">
        <v>7.6300000000000007E-2</v>
      </c>
      <c r="Q5" s="140">
        <v>1.3402000000000001</v>
      </c>
      <c r="R5" s="140" t="s">
        <v>149</v>
      </c>
      <c r="S5" s="142">
        <v>0.2051</v>
      </c>
      <c r="T5" s="141">
        <f t="shared" si="1"/>
        <v>6.7919</v>
      </c>
      <c r="U5" s="16"/>
    </row>
    <row r="6" spans="1:22" x14ac:dyDescent="0.35">
      <c r="A6" s="137">
        <v>5</v>
      </c>
      <c r="B6" s="168" t="s">
        <v>40</v>
      </c>
      <c r="C6" s="168" t="s">
        <v>72</v>
      </c>
      <c r="D6" t="s">
        <v>21</v>
      </c>
      <c r="E6" t="s">
        <v>55</v>
      </c>
      <c r="F6" t="s">
        <v>83</v>
      </c>
      <c r="G6" s="168" t="s">
        <v>146</v>
      </c>
      <c r="H6" t="s">
        <v>56</v>
      </c>
      <c r="I6" t="s">
        <v>59</v>
      </c>
      <c r="K6" s="138"/>
      <c r="L6" s="139">
        <v>5746</v>
      </c>
      <c r="M6" s="139">
        <v>4227</v>
      </c>
      <c r="N6" s="139">
        <f t="shared" si="0"/>
        <v>-1519</v>
      </c>
      <c r="O6" s="140">
        <v>0.2079</v>
      </c>
      <c r="P6" s="140">
        <v>-1.8599999999999998E-2</v>
      </c>
      <c r="Q6" s="140">
        <v>7.2099999999999997E-2</v>
      </c>
      <c r="R6" s="140"/>
      <c r="T6" s="141">
        <f t="shared" si="1"/>
        <v>878.79330000000004</v>
      </c>
      <c r="U6" s="16"/>
    </row>
    <row r="7" spans="1:22" x14ac:dyDescent="0.35">
      <c r="A7" s="137">
        <v>6</v>
      </c>
      <c r="B7" s="168" t="s">
        <v>40</v>
      </c>
      <c r="C7" s="168" t="s">
        <v>74</v>
      </c>
      <c r="D7" t="s">
        <v>21</v>
      </c>
      <c r="E7" t="s">
        <v>63</v>
      </c>
      <c r="F7" t="s">
        <v>83</v>
      </c>
      <c r="G7" s="168" t="s">
        <v>144</v>
      </c>
      <c r="H7" t="s">
        <v>56</v>
      </c>
      <c r="I7" t="s">
        <v>59</v>
      </c>
      <c r="K7" s="138">
        <v>0</v>
      </c>
      <c r="L7" s="139">
        <v>11937</v>
      </c>
      <c r="M7" s="139">
        <v>14667</v>
      </c>
      <c r="N7" s="139">
        <f t="shared" si="0"/>
        <v>2730</v>
      </c>
      <c r="O7" s="140">
        <v>2.3999999999999998E-3</v>
      </c>
      <c r="P7" s="140">
        <v>0.42409999999999998</v>
      </c>
      <c r="Q7" s="140">
        <v>1.1323000000000001</v>
      </c>
      <c r="R7" s="140"/>
      <c r="T7" s="141">
        <f t="shared" si="1"/>
        <v>35.200799999999994</v>
      </c>
      <c r="U7" s="16"/>
    </row>
    <row r="8" spans="1:22" x14ac:dyDescent="0.35">
      <c r="A8" s="137">
        <v>7</v>
      </c>
      <c r="B8" s="168" t="s">
        <v>40</v>
      </c>
      <c r="C8" s="168" t="s">
        <v>75</v>
      </c>
      <c r="D8" t="s">
        <v>21</v>
      </c>
      <c r="E8" t="s">
        <v>67</v>
      </c>
      <c r="F8" t="s">
        <v>83</v>
      </c>
      <c r="G8" s="168" t="s">
        <v>145</v>
      </c>
      <c r="H8" t="s">
        <v>56</v>
      </c>
      <c r="I8" t="s">
        <v>59</v>
      </c>
      <c r="K8" s="138">
        <v>0</v>
      </c>
      <c r="L8" s="139">
        <v>17490</v>
      </c>
      <c r="M8" s="139">
        <v>23675</v>
      </c>
      <c r="N8" s="139">
        <f t="shared" si="0"/>
        <v>6185</v>
      </c>
      <c r="O8" s="140">
        <v>5.9799999999999999E-2</v>
      </c>
      <c r="P8" s="140">
        <v>0.25800000000000001</v>
      </c>
      <c r="Q8" s="140">
        <v>0.53129999999999999</v>
      </c>
      <c r="R8" s="140"/>
      <c r="T8" s="141">
        <f t="shared" si="1"/>
        <v>1415.7649999999999</v>
      </c>
      <c r="U8" s="16"/>
    </row>
    <row r="9" spans="1:22" x14ac:dyDescent="0.35">
      <c r="A9" s="137">
        <v>8</v>
      </c>
      <c r="B9" s="168" t="s">
        <v>40</v>
      </c>
      <c r="C9" s="168" t="s">
        <v>77</v>
      </c>
      <c r="D9" t="s">
        <v>62</v>
      </c>
      <c r="E9" t="s">
        <v>67</v>
      </c>
      <c r="F9" t="s">
        <v>83</v>
      </c>
      <c r="G9" s="168" t="s">
        <v>73</v>
      </c>
      <c r="H9" t="s">
        <v>56</v>
      </c>
      <c r="I9" t="s">
        <v>59</v>
      </c>
      <c r="J9" t="s">
        <v>87</v>
      </c>
      <c r="K9" s="138">
        <v>8.0000000000000002E-3</v>
      </c>
      <c r="L9" s="139">
        <v>9484</v>
      </c>
      <c r="M9" s="139">
        <v>10378</v>
      </c>
      <c r="N9" s="139">
        <f t="shared" si="0"/>
        <v>894</v>
      </c>
      <c r="O9" s="140">
        <v>5.9900000000000002E-2</v>
      </c>
      <c r="P9" s="140">
        <v>0.1192</v>
      </c>
      <c r="Q9" s="140">
        <v>0.52</v>
      </c>
      <c r="R9" s="140" t="s">
        <v>151</v>
      </c>
      <c r="S9">
        <v>14.44</v>
      </c>
      <c r="T9" s="141">
        <f t="shared" si="1"/>
        <v>621.6422</v>
      </c>
      <c r="U9" s="16" t="s">
        <v>150</v>
      </c>
    </row>
    <row r="10" spans="1:22" x14ac:dyDescent="0.35">
      <c r="A10" s="137">
        <v>9</v>
      </c>
      <c r="B10" s="168" t="s">
        <v>40</v>
      </c>
      <c r="C10" s="168" t="s">
        <v>78</v>
      </c>
      <c r="D10" t="s">
        <v>62</v>
      </c>
      <c r="E10" t="s">
        <v>67</v>
      </c>
      <c r="F10" t="s">
        <v>82</v>
      </c>
      <c r="G10" s="168" t="s">
        <v>79</v>
      </c>
      <c r="H10" t="s">
        <v>80</v>
      </c>
      <c r="I10" t="s">
        <v>59</v>
      </c>
      <c r="K10" s="138"/>
      <c r="L10" s="139">
        <v>14561</v>
      </c>
      <c r="M10" s="139">
        <v>16380</v>
      </c>
      <c r="N10" s="139">
        <f t="shared" si="0"/>
        <v>1819</v>
      </c>
      <c r="O10" s="140">
        <v>6.2600000000000003E-2</v>
      </c>
      <c r="P10" s="140">
        <v>7.9000000000000001E-2</v>
      </c>
      <c r="Q10" s="140">
        <v>0.51759999999999995</v>
      </c>
      <c r="R10" s="140"/>
      <c r="T10" s="141">
        <f t="shared" si="1"/>
        <v>1025.3880000000001</v>
      </c>
      <c r="U10" s="16"/>
    </row>
    <row r="11" spans="1:22" x14ac:dyDescent="0.35">
      <c r="A11" s="137">
        <v>10</v>
      </c>
      <c r="B11" s="168" t="s">
        <v>40</v>
      </c>
      <c r="C11" s="168" t="s">
        <v>84</v>
      </c>
      <c r="D11" t="s">
        <v>21</v>
      </c>
      <c r="E11" t="s">
        <v>67</v>
      </c>
      <c r="F11" t="s">
        <v>83</v>
      </c>
      <c r="G11" s="168" t="s">
        <v>79</v>
      </c>
      <c r="H11" t="s">
        <v>71</v>
      </c>
      <c r="I11" t="s">
        <v>59</v>
      </c>
      <c r="K11" s="138">
        <v>0</v>
      </c>
      <c r="L11" s="139">
        <v>4277</v>
      </c>
      <c r="M11" s="139">
        <v>7547</v>
      </c>
      <c r="N11" s="139">
        <f t="shared" si="0"/>
        <v>3270</v>
      </c>
      <c r="O11" s="140">
        <v>4.3700000000000003E-2</v>
      </c>
      <c r="P11" s="140">
        <v>0.20280000000000001</v>
      </c>
      <c r="Q11" s="140">
        <v>0.94340000000000002</v>
      </c>
      <c r="R11" s="140"/>
      <c r="T11" s="141">
        <f t="shared" si="1"/>
        <v>329.8039</v>
      </c>
      <c r="U11" s="16"/>
    </row>
    <row r="12" spans="1:22" x14ac:dyDescent="0.35">
      <c r="A12" s="137">
        <v>11</v>
      </c>
      <c r="B12" s="168" t="s">
        <v>40</v>
      </c>
      <c r="C12" s="168" t="s">
        <v>85</v>
      </c>
      <c r="D12" t="s">
        <v>62</v>
      </c>
      <c r="E12" t="s">
        <v>55</v>
      </c>
      <c r="F12" t="s">
        <v>82</v>
      </c>
      <c r="G12" s="168" t="s">
        <v>67</v>
      </c>
      <c r="H12" t="s">
        <v>80</v>
      </c>
      <c r="I12" t="s">
        <v>59</v>
      </c>
      <c r="J12" t="s">
        <v>88</v>
      </c>
      <c r="K12" s="138"/>
      <c r="L12" s="139">
        <v>15551</v>
      </c>
      <c r="M12" s="139">
        <v>16235</v>
      </c>
      <c r="N12" s="139">
        <f t="shared" si="0"/>
        <v>684</v>
      </c>
      <c r="O12" s="140">
        <v>0.1197</v>
      </c>
      <c r="P12" s="140">
        <v>3.2300000000000002E-2</v>
      </c>
      <c r="Q12" s="140">
        <v>2.5999999999999999E-2</v>
      </c>
      <c r="R12" s="140" t="s">
        <v>149</v>
      </c>
      <c r="S12" s="143">
        <v>0.19789999999999999</v>
      </c>
      <c r="T12" s="141">
        <f t="shared" si="1"/>
        <v>1943.3295000000001</v>
      </c>
      <c r="U12" s="16" t="s">
        <v>153</v>
      </c>
    </row>
    <row r="13" spans="1:22" x14ac:dyDescent="0.35">
      <c r="A13" s="137">
        <v>12</v>
      </c>
      <c r="B13" s="168" t="s">
        <v>40</v>
      </c>
      <c r="C13" s="168" t="s">
        <v>86</v>
      </c>
      <c r="D13" t="s">
        <v>62</v>
      </c>
      <c r="E13" t="s">
        <v>55</v>
      </c>
      <c r="F13" t="s">
        <v>82</v>
      </c>
      <c r="G13" s="168" t="s">
        <v>73</v>
      </c>
      <c r="H13" t="s">
        <v>56</v>
      </c>
      <c r="I13" t="s">
        <v>59</v>
      </c>
      <c r="J13" t="s">
        <v>87</v>
      </c>
      <c r="K13" s="138"/>
      <c r="L13" s="139">
        <v>11943</v>
      </c>
      <c r="M13" s="139">
        <v>11024</v>
      </c>
      <c r="N13" s="139">
        <f t="shared" si="0"/>
        <v>-919</v>
      </c>
      <c r="O13" s="140">
        <v>0.14879999999999999</v>
      </c>
      <c r="P13" s="140">
        <v>-3.0300000000000001E-2</v>
      </c>
      <c r="Q13" s="140">
        <v>-0.15359999999999999</v>
      </c>
      <c r="R13" s="140"/>
      <c r="T13" s="141">
        <f t="shared" si="1"/>
        <v>1640.3711999999998</v>
      </c>
      <c r="U13" s="16"/>
    </row>
    <row r="14" spans="1:22" x14ac:dyDescent="0.35">
      <c r="A14" s="137">
        <v>13</v>
      </c>
      <c r="B14" s="168" t="s">
        <v>40</v>
      </c>
      <c r="C14" s="168" t="s">
        <v>90</v>
      </c>
      <c r="D14" t="s">
        <v>62</v>
      </c>
      <c r="E14" t="s">
        <v>55</v>
      </c>
      <c r="F14" t="s">
        <v>82</v>
      </c>
      <c r="G14" s="168" t="s">
        <v>67</v>
      </c>
      <c r="H14" t="s">
        <v>80</v>
      </c>
      <c r="I14" t="s">
        <v>59</v>
      </c>
      <c r="J14" t="s">
        <v>87</v>
      </c>
      <c r="K14" s="138"/>
      <c r="L14" s="139">
        <v>22543</v>
      </c>
      <c r="M14" s="139">
        <v>23782</v>
      </c>
      <c r="N14" s="139">
        <f t="shared" si="0"/>
        <v>1239</v>
      </c>
      <c r="O14" s="140">
        <v>0.1348</v>
      </c>
      <c r="P14" s="140">
        <v>-4.07E-2</v>
      </c>
      <c r="Q14" s="140">
        <v>-0.2114</v>
      </c>
      <c r="R14" s="140"/>
      <c r="T14" s="141">
        <f t="shared" si="1"/>
        <v>3205.8136</v>
      </c>
      <c r="U14" s="16"/>
    </row>
    <row r="15" spans="1:22" x14ac:dyDescent="0.35">
      <c r="A15" s="137">
        <v>14</v>
      </c>
      <c r="B15" s="168" t="s">
        <v>40</v>
      </c>
      <c r="C15" s="168" t="s">
        <v>93</v>
      </c>
      <c r="D15" t="s">
        <v>21</v>
      </c>
      <c r="E15" t="s">
        <v>67</v>
      </c>
      <c r="F15" t="s">
        <v>83</v>
      </c>
      <c r="G15" s="168" t="s">
        <v>68</v>
      </c>
      <c r="H15" t="s">
        <v>56</v>
      </c>
      <c r="I15" t="s">
        <v>59</v>
      </c>
      <c r="J15" t="s">
        <v>94</v>
      </c>
      <c r="K15" s="138">
        <v>0</v>
      </c>
      <c r="L15" s="139">
        <v>13556</v>
      </c>
      <c r="M15" s="139">
        <v>14492</v>
      </c>
      <c r="N15" s="139">
        <f t="shared" si="0"/>
        <v>936</v>
      </c>
      <c r="O15" s="140">
        <v>3.5799999999999998E-2</v>
      </c>
      <c r="P15" s="140">
        <v>0.1789</v>
      </c>
      <c r="Q15" s="140">
        <v>0.99980000000000002</v>
      </c>
      <c r="R15" s="140"/>
      <c r="T15" s="141">
        <f t="shared" si="1"/>
        <v>518.81359999999995</v>
      </c>
      <c r="U15" s="16"/>
    </row>
    <row r="16" spans="1:22" x14ac:dyDescent="0.35">
      <c r="A16" s="137">
        <v>15</v>
      </c>
      <c r="B16" s="168" t="s">
        <v>40</v>
      </c>
      <c r="C16" s="168" t="s">
        <v>96</v>
      </c>
      <c r="D16" t="s">
        <v>62</v>
      </c>
      <c r="E16" t="s">
        <v>67</v>
      </c>
      <c r="F16" t="s">
        <v>82</v>
      </c>
      <c r="G16" s="168" t="s">
        <v>92</v>
      </c>
      <c r="H16" t="s">
        <v>80</v>
      </c>
      <c r="I16" t="s">
        <v>59</v>
      </c>
      <c r="J16" t="s">
        <v>87</v>
      </c>
      <c r="K16" s="138"/>
      <c r="L16" s="139">
        <v>26095</v>
      </c>
      <c r="M16" s="139">
        <v>26956</v>
      </c>
      <c r="N16" s="139">
        <f t="shared" si="0"/>
        <v>861</v>
      </c>
      <c r="O16" s="140">
        <v>0.10780000000000001</v>
      </c>
      <c r="P16" s="140">
        <v>-0.1137</v>
      </c>
      <c r="Q16" s="140">
        <v>0.37569999999999998</v>
      </c>
      <c r="R16" s="140"/>
      <c r="S16" t="s">
        <v>97</v>
      </c>
      <c r="T16" s="141">
        <f t="shared" si="1"/>
        <v>2905.8568</v>
      </c>
      <c r="U16" s="16"/>
    </row>
    <row r="17" spans="1:16384" customFormat="1" x14ac:dyDescent="0.35">
      <c r="A17" s="137">
        <v>16</v>
      </c>
      <c r="B17" s="168" t="s">
        <v>40</v>
      </c>
      <c r="C17" s="168" t="s">
        <v>98</v>
      </c>
      <c r="D17" t="s">
        <v>62</v>
      </c>
      <c r="E17" t="s">
        <v>63</v>
      </c>
      <c r="F17" t="s">
        <v>83</v>
      </c>
      <c r="G17" s="168" t="s">
        <v>92</v>
      </c>
      <c r="H17" t="s">
        <v>65</v>
      </c>
      <c r="I17" t="s">
        <v>70</v>
      </c>
      <c r="J17" t="s">
        <v>88</v>
      </c>
      <c r="K17" s="138"/>
      <c r="L17" s="139">
        <f>25176*$V$1</f>
        <v>36253.943520000001</v>
      </c>
      <c r="M17" s="139">
        <f>60586*$V$1</f>
        <v>87245.051720000003</v>
      </c>
      <c r="N17" s="139">
        <f t="shared" si="0"/>
        <v>50991.108200000002</v>
      </c>
      <c r="O17" s="140">
        <v>6.7999999999999996E-3</v>
      </c>
      <c r="P17" s="140">
        <v>5.0900000000000001E-2</v>
      </c>
      <c r="Q17" s="140">
        <v>1.7398</v>
      </c>
      <c r="R17" s="140"/>
      <c r="S17" t="s">
        <v>99</v>
      </c>
      <c r="T17" s="141">
        <f t="shared" si="1"/>
        <v>593.26635169600002</v>
      </c>
      <c r="U17" s="16"/>
    </row>
    <row r="18" spans="1:16384" customFormat="1" x14ac:dyDescent="0.35">
      <c r="A18" s="137">
        <v>17</v>
      </c>
      <c r="B18" s="168" t="s">
        <v>40</v>
      </c>
      <c r="C18" s="168" t="s">
        <v>100</v>
      </c>
      <c r="D18" t="s">
        <v>62</v>
      </c>
      <c r="E18" t="s">
        <v>67</v>
      </c>
      <c r="F18" t="s">
        <v>83</v>
      </c>
      <c r="G18" s="168" t="s">
        <v>76</v>
      </c>
      <c r="H18" t="s">
        <v>80</v>
      </c>
      <c r="I18" t="s">
        <v>59</v>
      </c>
      <c r="J18" t="s">
        <v>88</v>
      </c>
      <c r="K18" s="138"/>
      <c r="L18" s="139">
        <v>8532</v>
      </c>
      <c r="M18" s="139">
        <v>8556</v>
      </c>
      <c r="N18" s="139">
        <f t="shared" si="0"/>
        <v>24</v>
      </c>
      <c r="O18" s="140">
        <v>0.04</v>
      </c>
      <c r="P18" s="140">
        <v>0.1244</v>
      </c>
      <c r="Q18" s="140">
        <v>0.2056</v>
      </c>
      <c r="R18" s="140"/>
      <c r="S18" t="s">
        <v>101</v>
      </c>
      <c r="T18" s="141">
        <f t="shared" si="1"/>
        <v>342.24</v>
      </c>
      <c r="U18" s="16"/>
    </row>
    <row r="19" spans="1:16384" customFormat="1" x14ac:dyDescent="0.35">
      <c r="A19" s="137">
        <v>18</v>
      </c>
      <c r="B19" s="168" t="s">
        <v>40</v>
      </c>
      <c r="C19" s="168" t="s">
        <v>102</v>
      </c>
      <c r="D19" t="s">
        <v>62</v>
      </c>
      <c r="E19" t="s">
        <v>63</v>
      </c>
      <c r="F19" t="s">
        <v>83</v>
      </c>
      <c r="G19" s="168" t="s">
        <v>103</v>
      </c>
      <c r="H19" t="s">
        <v>65</v>
      </c>
      <c r="I19" t="s">
        <v>59</v>
      </c>
      <c r="J19" t="s">
        <v>88</v>
      </c>
      <c r="K19" s="138"/>
      <c r="L19" s="139">
        <v>23215</v>
      </c>
      <c r="M19" s="139">
        <v>26016</v>
      </c>
      <c r="N19" s="139">
        <f t="shared" si="0"/>
        <v>2801</v>
      </c>
      <c r="O19" s="140">
        <v>9.7999999999999997E-3</v>
      </c>
      <c r="P19" s="140">
        <v>0.15240000000000001</v>
      </c>
      <c r="Q19" s="140">
        <v>1.2584</v>
      </c>
      <c r="R19" s="140"/>
      <c r="S19" t="s">
        <v>99</v>
      </c>
      <c r="T19" s="141">
        <f t="shared" si="1"/>
        <v>254.95679999999999</v>
      </c>
      <c r="U19" s="16"/>
    </row>
    <row r="20" spans="1:16384" s="124" customFormat="1" x14ac:dyDescent="0.35">
      <c r="A20" s="137">
        <v>19</v>
      </c>
      <c r="B20" s="168" t="s">
        <v>40</v>
      </c>
      <c r="C20" s="168" t="s">
        <v>105</v>
      </c>
      <c r="D20" t="s">
        <v>62</v>
      </c>
      <c r="E20" t="s">
        <v>67</v>
      </c>
      <c r="F20" t="s">
        <v>82</v>
      </c>
      <c r="G20" s="168" t="s">
        <v>67</v>
      </c>
      <c r="H20" t="s">
        <v>71</v>
      </c>
      <c r="I20" t="s">
        <v>59</v>
      </c>
      <c r="J20" t="s">
        <v>87</v>
      </c>
      <c r="K20" s="138"/>
      <c r="L20" s="139">
        <v>50732</v>
      </c>
      <c r="M20" s="139">
        <v>52682</v>
      </c>
      <c r="N20" s="139">
        <f t="shared" si="0"/>
        <v>1950</v>
      </c>
      <c r="O20" s="140">
        <v>6.4799999999999996E-2</v>
      </c>
      <c r="P20" s="140">
        <v>5.8000000000000003E-2</v>
      </c>
      <c r="Q20" s="140">
        <v>0.22040000000000001</v>
      </c>
      <c r="R20" s="140"/>
      <c r="S20" t="s">
        <v>99</v>
      </c>
      <c r="T20" s="141">
        <f t="shared" si="1"/>
        <v>3413.7936</v>
      </c>
      <c r="U20" s="16"/>
      <c r="V20"/>
      <c r="W20"/>
      <c r="X20"/>
      <c r="Y20"/>
      <c r="Z20"/>
      <c r="AA20"/>
      <c r="AB20"/>
      <c r="AC20"/>
      <c r="AD20" s="1"/>
      <c r="AE20" s="1"/>
      <c r="AF20" s="1"/>
      <c r="AG20" s="120"/>
      <c r="AH20" s="120"/>
      <c r="AI20" s="120"/>
      <c r="AJ20"/>
      <c r="AK20"/>
      <c r="AL20"/>
      <c r="AM20"/>
      <c r="AN20"/>
      <c r="AO20"/>
      <c r="AP20"/>
      <c r="AQ20"/>
      <c r="AR20"/>
      <c r="AS20"/>
      <c r="AT20"/>
      <c r="AU20" s="1"/>
      <c r="AV20" s="1"/>
      <c r="AW20" s="1"/>
      <c r="AX20" s="120"/>
      <c r="AY20" s="120"/>
      <c r="AZ20" s="120"/>
      <c r="BA20"/>
      <c r="BB20"/>
      <c r="BC20"/>
      <c r="BD20"/>
      <c r="BE20"/>
      <c r="BF20"/>
      <c r="BG20"/>
      <c r="BH20"/>
      <c r="BI20"/>
      <c r="BJ20"/>
      <c r="BK20"/>
      <c r="BL20" s="1"/>
      <c r="BM20" s="1"/>
      <c r="BN20" s="1"/>
      <c r="BO20" s="120"/>
      <c r="BP20" s="120"/>
      <c r="BQ20" s="120"/>
      <c r="BR20"/>
      <c r="BS20"/>
      <c r="BT20"/>
      <c r="BU20"/>
      <c r="BV20"/>
      <c r="BW20"/>
      <c r="BX20"/>
      <c r="BY20"/>
      <c r="BZ20"/>
      <c r="CA20"/>
      <c r="CB20"/>
      <c r="CC20" s="1"/>
      <c r="CD20" s="1"/>
      <c r="CE20" s="1"/>
      <c r="CF20" s="120"/>
      <c r="CG20" s="120"/>
      <c r="CH20" s="120"/>
      <c r="CI20"/>
      <c r="CJ20"/>
      <c r="CK20"/>
      <c r="CL20"/>
      <c r="CM20"/>
      <c r="CN20"/>
      <c r="CO20"/>
      <c r="CP20"/>
      <c r="CQ20"/>
      <c r="CR20"/>
      <c r="CS20"/>
      <c r="CT20" s="1"/>
      <c r="CU20" s="1"/>
      <c r="CV20" s="1"/>
      <c r="CW20" s="120"/>
      <c r="CX20" s="120"/>
      <c r="CY20" s="120"/>
      <c r="CZ20"/>
      <c r="DA20"/>
      <c r="DB20"/>
      <c r="DC20"/>
      <c r="DD20"/>
      <c r="DE20"/>
      <c r="DF20"/>
      <c r="DG20"/>
      <c r="DH20"/>
      <c r="DI20"/>
      <c r="DJ20"/>
      <c r="DK20" s="1"/>
      <c r="DL20" s="1"/>
      <c r="DM20" s="1"/>
      <c r="DN20" s="120"/>
      <c r="DO20" s="120"/>
      <c r="DP20" s="120"/>
      <c r="DQ20"/>
      <c r="DR20"/>
      <c r="DS20"/>
      <c r="DT20"/>
      <c r="DU20"/>
      <c r="DV20"/>
      <c r="DW20"/>
      <c r="DX20"/>
      <c r="DY20"/>
      <c r="DZ20"/>
      <c r="EA20"/>
      <c r="EB20" s="1"/>
      <c r="EC20" s="1"/>
      <c r="ED20" s="1"/>
      <c r="EE20" s="120"/>
      <c r="EF20" s="120"/>
      <c r="EG20" s="120"/>
      <c r="EH20"/>
      <c r="EI20"/>
      <c r="EJ20"/>
      <c r="EK20"/>
      <c r="EL20"/>
      <c r="EM20"/>
      <c r="EN20"/>
      <c r="EO20"/>
      <c r="EP20"/>
      <c r="EQ20"/>
      <c r="ER20"/>
      <c r="ES20" s="1"/>
      <c r="ET20" s="1"/>
      <c r="EU20" s="1"/>
      <c r="EV20" s="120"/>
      <c r="EW20" s="120"/>
      <c r="EX20" s="120"/>
      <c r="EY20"/>
      <c r="EZ20"/>
      <c r="FA20"/>
      <c r="FB20"/>
      <c r="FC20"/>
      <c r="FD20"/>
      <c r="FE20"/>
      <c r="FF20"/>
      <c r="FG20"/>
      <c r="FH20"/>
      <c r="FI20"/>
      <c r="FJ20" s="1"/>
      <c r="FK20" s="1"/>
      <c r="FL20" s="1"/>
      <c r="FM20" s="120"/>
      <c r="FN20" s="120"/>
      <c r="FO20" s="120"/>
      <c r="FP20"/>
      <c r="FQ20"/>
      <c r="FR20"/>
      <c r="FS20"/>
      <c r="FT20"/>
      <c r="FU20"/>
      <c r="FV20"/>
      <c r="FW20"/>
      <c r="FX20"/>
      <c r="FY20"/>
      <c r="FZ20"/>
      <c r="GA20" s="1"/>
      <c r="GB20" s="1"/>
      <c r="GC20" s="1"/>
      <c r="GD20" s="120"/>
      <c r="GE20" s="120"/>
      <c r="GF20" s="120"/>
      <c r="GG20"/>
      <c r="GH20"/>
      <c r="GI20"/>
      <c r="GJ20"/>
      <c r="GK20"/>
      <c r="GL20"/>
      <c r="GM20"/>
      <c r="GN20"/>
      <c r="GO20"/>
      <c r="GP20"/>
      <c r="GQ20"/>
      <c r="GR20" s="1"/>
      <c r="GS20" s="1"/>
      <c r="GT20" s="1"/>
      <c r="GU20" s="120"/>
      <c r="GV20" s="120"/>
      <c r="GW20" s="120"/>
      <c r="GX20"/>
      <c r="GY20"/>
      <c r="GZ20"/>
      <c r="HA20"/>
      <c r="HB20"/>
      <c r="HC20"/>
      <c r="HD20"/>
      <c r="HE20"/>
      <c r="HF20"/>
      <c r="HG20"/>
      <c r="HH20"/>
      <c r="HI20" s="1"/>
      <c r="HJ20" s="1"/>
      <c r="HK20" s="1"/>
      <c r="HL20" s="120"/>
      <c r="HM20" s="120"/>
      <c r="HN20" s="120"/>
      <c r="HO20"/>
      <c r="HP20"/>
      <c r="HQ20"/>
      <c r="HR20"/>
      <c r="HS20"/>
      <c r="HT20"/>
      <c r="HU20"/>
      <c r="HV20"/>
      <c r="HW20"/>
      <c r="HX20"/>
      <c r="HY20"/>
      <c r="HZ20" s="1"/>
      <c r="IA20" s="1"/>
      <c r="IB20" s="1"/>
      <c r="IC20" s="120"/>
      <c r="ID20" s="120"/>
      <c r="IE20" s="120"/>
      <c r="IF20"/>
      <c r="IG20"/>
      <c r="IH20"/>
      <c r="II20"/>
      <c r="IJ20"/>
      <c r="IK20"/>
      <c r="IL20"/>
      <c r="IM20"/>
      <c r="IN20"/>
      <c r="IO20"/>
      <c r="IP20"/>
      <c r="IQ20" s="1"/>
      <c r="IR20" s="1"/>
      <c r="IS20" s="1"/>
      <c r="IT20" s="120"/>
      <c r="IU20" s="120"/>
      <c r="IV20" s="120"/>
      <c r="IW20"/>
      <c r="IX20"/>
      <c r="IY20"/>
      <c r="IZ20"/>
      <c r="JA20"/>
      <c r="JB20"/>
      <c r="JC20"/>
      <c r="JD20"/>
      <c r="JE20"/>
      <c r="JF20"/>
      <c r="JG20"/>
      <c r="JH20" s="1"/>
      <c r="JI20" s="1"/>
      <c r="JJ20" s="1"/>
      <c r="JK20" s="120"/>
      <c r="JL20" s="120"/>
      <c r="JM20" s="120"/>
      <c r="JN20"/>
      <c r="JO20"/>
      <c r="JP20"/>
      <c r="JQ20"/>
      <c r="JR20"/>
      <c r="JS20"/>
      <c r="JT20"/>
      <c r="JU20"/>
      <c r="JV20"/>
      <c r="JW20"/>
      <c r="JX20"/>
      <c r="JY20" s="1"/>
      <c r="JZ20" s="1"/>
      <c r="KA20" s="1"/>
      <c r="KB20" s="120"/>
      <c r="KC20" s="120"/>
      <c r="KD20" s="120"/>
      <c r="KE20"/>
      <c r="KF20"/>
      <c r="KG20"/>
      <c r="KH20"/>
      <c r="KI20"/>
      <c r="KJ20"/>
      <c r="KK20"/>
      <c r="KL20"/>
      <c r="KM20"/>
      <c r="KN20"/>
      <c r="KO20"/>
      <c r="KP20" s="1"/>
      <c r="KQ20" s="1"/>
      <c r="KR20" s="1"/>
      <c r="KS20" s="120"/>
      <c r="KT20" s="120"/>
      <c r="KU20" s="120"/>
      <c r="KV20"/>
      <c r="KW20"/>
      <c r="KX20"/>
      <c r="KY20"/>
      <c r="KZ20"/>
      <c r="LA20"/>
      <c r="LB20"/>
      <c r="LC20"/>
      <c r="LD20"/>
      <c r="LE20"/>
      <c r="LF20"/>
      <c r="LG20" s="1"/>
      <c r="LH20" s="1"/>
      <c r="LI20" s="1"/>
      <c r="LJ20" s="120"/>
      <c r="LK20" s="120"/>
      <c r="LL20" s="120"/>
      <c r="LM20"/>
      <c r="LN20"/>
      <c r="LO20"/>
      <c r="LP20"/>
      <c r="LQ20"/>
      <c r="LR20"/>
      <c r="LS20"/>
      <c r="LT20"/>
      <c r="LU20"/>
      <c r="LV20"/>
      <c r="LW20"/>
      <c r="LX20" s="1"/>
      <c r="LY20" s="1"/>
      <c r="LZ20" s="1"/>
      <c r="MA20" s="120"/>
      <c r="MB20" s="120"/>
      <c r="MC20" s="120"/>
      <c r="MD20"/>
      <c r="ME20"/>
      <c r="MF20"/>
      <c r="MG20"/>
      <c r="MH20"/>
      <c r="MI20"/>
      <c r="MJ20"/>
      <c r="MK20"/>
      <c r="ML20"/>
      <c r="MM20"/>
      <c r="MN20"/>
      <c r="MO20" s="1"/>
      <c r="MP20" s="1"/>
      <c r="MQ20" s="1"/>
      <c r="MR20" s="120"/>
      <c r="MS20" s="120"/>
      <c r="MT20" s="120"/>
      <c r="MU20"/>
      <c r="MV20"/>
      <c r="MW20"/>
      <c r="MX20"/>
      <c r="MY20"/>
      <c r="MZ20"/>
      <c r="NA20"/>
      <c r="NB20"/>
      <c r="NC20"/>
      <c r="ND20"/>
      <c r="NE20"/>
      <c r="NF20" s="1"/>
      <c r="NG20" s="1"/>
      <c r="NH20" s="1"/>
      <c r="NI20" s="120"/>
      <c r="NJ20" s="120"/>
      <c r="NK20" s="120"/>
      <c r="NL20"/>
      <c r="NM20"/>
      <c r="NN20"/>
      <c r="NO20"/>
      <c r="NP20"/>
      <c r="NQ20"/>
      <c r="NR20"/>
      <c r="NS20"/>
      <c r="NT20"/>
      <c r="NU20"/>
      <c r="NV20"/>
      <c r="NW20" s="1"/>
      <c r="NX20" s="1"/>
      <c r="NY20" s="1"/>
      <c r="NZ20" s="120"/>
      <c r="OA20" s="120"/>
      <c r="OB20" s="120"/>
      <c r="OC20"/>
      <c r="OD20"/>
      <c r="OE20"/>
      <c r="OF20"/>
      <c r="OG20"/>
      <c r="OH20"/>
      <c r="OI20"/>
      <c r="OJ20"/>
      <c r="OK20"/>
      <c r="OL20"/>
      <c r="OM20"/>
      <c r="ON20" s="1"/>
      <c r="OO20" s="1"/>
      <c r="OP20" s="1"/>
      <c r="OQ20" s="120"/>
      <c r="OR20" s="120"/>
      <c r="OS20" s="120"/>
      <c r="OT20"/>
      <c r="OU20"/>
      <c r="OV20"/>
      <c r="OW20"/>
      <c r="OX20"/>
      <c r="OY20"/>
      <c r="OZ20"/>
      <c r="PA20"/>
      <c r="PB20"/>
      <c r="PC20"/>
      <c r="PD20"/>
      <c r="PE20" s="1"/>
      <c r="PF20" s="1"/>
      <c r="PG20" s="1"/>
      <c r="PH20" s="120"/>
      <c r="PI20" s="120"/>
      <c r="PJ20" s="120"/>
      <c r="PK20"/>
      <c r="PL20"/>
      <c r="PM20"/>
      <c r="PN20"/>
      <c r="PO20"/>
      <c r="PP20"/>
      <c r="PQ20"/>
      <c r="PR20"/>
      <c r="PS20"/>
      <c r="PT20"/>
      <c r="PU20"/>
      <c r="PV20" s="1"/>
      <c r="PW20" s="1"/>
      <c r="PX20" s="1"/>
      <c r="PY20" s="120"/>
      <c r="PZ20" s="120"/>
      <c r="QA20" s="120"/>
      <c r="QB20"/>
      <c r="QC20"/>
      <c r="QD20"/>
      <c r="QE20"/>
      <c r="QF20"/>
      <c r="QG20"/>
      <c r="QH20"/>
      <c r="QI20"/>
      <c r="QJ20"/>
      <c r="QK20"/>
      <c r="QL20"/>
      <c r="QM20" s="1"/>
      <c r="QN20" s="1"/>
      <c r="QO20" s="1"/>
      <c r="QP20" s="120"/>
      <c r="QQ20" s="120"/>
      <c r="QR20" s="120"/>
      <c r="QS20"/>
      <c r="QT20"/>
      <c r="QU20"/>
      <c r="QV20"/>
      <c r="QW20"/>
      <c r="QX20"/>
      <c r="QY20"/>
      <c r="QZ20"/>
      <c r="RA20"/>
      <c r="RB20"/>
      <c r="RC20"/>
      <c r="RD20" s="1"/>
      <c r="RE20" s="1"/>
      <c r="RF20" s="1"/>
      <c r="RG20" s="120"/>
      <c r="RH20" s="120"/>
      <c r="RI20" s="120"/>
      <c r="RJ20"/>
      <c r="RK20"/>
      <c r="RL20"/>
      <c r="RM20"/>
      <c r="RN20"/>
      <c r="RO20"/>
      <c r="RP20"/>
      <c r="RQ20"/>
      <c r="RR20"/>
      <c r="RS20"/>
      <c r="RT20"/>
      <c r="RU20" s="1"/>
      <c r="RV20" s="1"/>
      <c r="RW20" s="1"/>
      <c r="RX20" s="120"/>
      <c r="RY20" s="120"/>
      <c r="RZ20" s="120"/>
      <c r="SA20"/>
      <c r="SB20"/>
      <c r="SC20"/>
      <c r="SD20"/>
      <c r="SE20"/>
      <c r="SF20"/>
      <c r="SG20"/>
      <c r="SH20"/>
      <c r="SI20"/>
      <c r="SJ20"/>
      <c r="SK20"/>
      <c r="SL20" s="1"/>
      <c r="SM20" s="1"/>
      <c r="SN20" s="1"/>
      <c r="SO20" s="120"/>
      <c r="SP20" s="120"/>
      <c r="SQ20" s="120"/>
      <c r="SR20"/>
      <c r="SS20"/>
      <c r="ST20"/>
      <c r="SU20"/>
      <c r="SV20"/>
      <c r="SW20"/>
      <c r="SX20"/>
      <c r="SY20"/>
      <c r="SZ20"/>
      <c r="TA20"/>
      <c r="TB20"/>
      <c r="TC20" s="1"/>
      <c r="TD20" s="1"/>
      <c r="TE20" s="1"/>
      <c r="TF20" s="120"/>
      <c r="TG20" s="120"/>
      <c r="TH20" s="120"/>
      <c r="TI20"/>
      <c r="TJ20"/>
      <c r="TK20"/>
      <c r="TL20"/>
      <c r="TM20"/>
      <c r="TN20"/>
      <c r="TO20"/>
      <c r="TP20"/>
      <c r="TQ20"/>
      <c r="TR20"/>
      <c r="TS20"/>
      <c r="TT20" s="1"/>
      <c r="TU20" s="1"/>
      <c r="TV20" s="1"/>
      <c r="TW20" s="120"/>
      <c r="TX20" s="120"/>
      <c r="TY20" s="120"/>
      <c r="TZ20"/>
      <c r="UA20"/>
      <c r="UB20"/>
      <c r="UC20"/>
      <c r="UD20"/>
      <c r="UE20"/>
      <c r="UF20"/>
      <c r="UG20"/>
      <c r="UH20"/>
      <c r="UI20"/>
      <c r="UJ20"/>
      <c r="UK20" s="1"/>
      <c r="UL20" s="1"/>
      <c r="UM20" s="1"/>
      <c r="UN20" s="120"/>
      <c r="UO20" s="120"/>
      <c r="UP20" s="120"/>
      <c r="UQ20"/>
      <c r="UR20"/>
      <c r="US20"/>
      <c r="UT20"/>
      <c r="UU20"/>
      <c r="UV20"/>
      <c r="UW20"/>
      <c r="UX20"/>
      <c r="UY20"/>
      <c r="UZ20"/>
      <c r="VA20"/>
      <c r="VB20" s="1"/>
      <c r="VC20" s="1"/>
      <c r="VD20" s="1"/>
      <c r="VE20" s="120"/>
      <c r="VF20" s="120"/>
      <c r="VG20" s="120"/>
      <c r="VH20"/>
      <c r="VI20"/>
      <c r="VJ20"/>
      <c r="VK20"/>
      <c r="VL20"/>
      <c r="VM20"/>
      <c r="VN20"/>
      <c r="VO20"/>
      <c r="VP20"/>
      <c r="VQ20"/>
      <c r="VR20"/>
      <c r="VS20" s="1"/>
      <c r="VT20" s="1"/>
      <c r="VU20" s="1"/>
      <c r="VV20" s="120"/>
      <c r="VW20" s="120"/>
      <c r="VX20" s="120"/>
      <c r="VY20"/>
      <c r="VZ20"/>
      <c r="WA20"/>
      <c r="WB20"/>
      <c r="WC20"/>
      <c r="WD20"/>
      <c r="WE20"/>
      <c r="WF20"/>
      <c r="WG20"/>
      <c r="WH20"/>
      <c r="WI20"/>
      <c r="WJ20" s="1"/>
      <c r="WK20" s="1"/>
      <c r="WL20" s="1"/>
      <c r="WM20" s="120"/>
      <c r="WN20" s="120"/>
      <c r="WO20" s="120"/>
      <c r="WP20"/>
      <c r="WQ20"/>
      <c r="WR20"/>
      <c r="WS20"/>
      <c r="WT20"/>
      <c r="WU20"/>
      <c r="WV20"/>
      <c r="WW20"/>
      <c r="WX20"/>
      <c r="WY20"/>
      <c r="WZ20"/>
      <c r="XA20" s="1"/>
      <c r="XB20" s="1"/>
      <c r="XC20" s="1"/>
      <c r="XD20" s="120"/>
      <c r="XE20" s="120"/>
      <c r="XF20" s="120"/>
      <c r="XG20"/>
      <c r="XH20"/>
      <c r="XI20"/>
      <c r="XJ20"/>
      <c r="XK20"/>
      <c r="XL20"/>
      <c r="XM20"/>
      <c r="XN20"/>
      <c r="XO20"/>
      <c r="XP20"/>
      <c r="XQ20"/>
      <c r="XR20" s="1"/>
      <c r="XS20" s="1"/>
      <c r="XT20" s="1"/>
      <c r="XU20" s="120"/>
      <c r="XV20" s="120"/>
      <c r="XW20" s="120"/>
      <c r="XX20"/>
      <c r="XY20"/>
      <c r="XZ20"/>
      <c r="YA20"/>
      <c r="YB20"/>
      <c r="YC20"/>
      <c r="YD20"/>
      <c r="YE20"/>
      <c r="YF20"/>
      <c r="YG20"/>
      <c r="YH20"/>
      <c r="YI20" s="1"/>
      <c r="YJ20" s="1"/>
      <c r="YK20" s="1"/>
      <c r="YL20" s="120"/>
      <c r="YM20" s="120"/>
      <c r="YN20" s="120"/>
      <c r="YO20"/>
      <c r="YP20"/>
      <c r="YQ20"/>
      <c r="YR20"/>
      <c r="YS20"/>
      <c r="YT20"/>
      <c r="YU20"/>
      <c r="YV20"/>
      <c r="YW20"/>
      <c r="YX20"/>
      <c r="YY20"/>
      <c r="YZ20" s="1"/>
      <c r="ZA20" s="1"/>
      <c r="ZB20" s="1"/>
      <c r="ZC20" s="120"/>
      <c r="ZD20" s="120"/>
      <c r="ZE20" s="120"/>
      <c r="ZF20"/>
      <c r="ZG20"/>
      <c r="ZH20"/>
      <c r="ZI20"/>
      <c r="ZJ20"/>
      <c r="ZK20"/>
      <c r="ZL20"/>
      <c r="ZM20"/>
      <c r="ZN20"/>
      <c r="ZO20"/>
      <c r="ZP20"/>
      <c r="ZQ20" s="1"/>
      <c r="ZR20" s="1"/>
      <c r="ZS20" s="1"/>
      <c r="ZT20" s="120"/>
      <c r="ZU20" s="120"/>
      <c r="ZV20" s="120"/>
      <c r="ZW20"/>
      <c r="ZX20"/>
      <c r="ZY20"/>
      <c r="ZZ20"/>
      <c r="AAA20"/>
      <c r="AAB20"/>
      <c r="AAC20"/>
      <c r="AAD20"/>
      <c r="AAE20"/>
      <c r="AAF20"/>
      <c r="AAG20"/>
      <c r="AAH20" s="1"/>
      <c r="AAI20" s="1"/>
      <c r="AAJ20" s="1"/>
      <c r="AAK20" s="120"/>
      <c r="AAL20" s="120"/>
      <c r="AAM20" s="120"/>
      <c r="AAN20"/>
      <c r="AAO20"/>
      <c r="AAP20"/>
      <c r="AAQ20"/>
      <c r="AAR20"/>
      <c r="AAS20"/>
      <c r="AAT20"/>
      <c r="AAU20"/>
      <c r="AAV20"/>
      <c r="AAW20"/>
      <c r="AAX20"/>
      <c r="AAY20" s="1"/>
      <c r="AAZ20" s="1"/>
      <c r="ABA20" s="1"/>
      <c r="ABB20" s="120"/>
      <c r="ABC20" s="120"/>
      <c r="ABD20" s="120"/>
      <c r="ABE20"/>
      <c r="ABF20"/>
      <c r="ABG20"/>
      <c r="ABH20"/>
      <c r="ABI20"/>
      <c r="ABJ20"/>
      <c r="ABK20"/>
      <c r="ABL20"/>
      <c r="ABM20"/>
      <c r="ABN20"/>
      <c r="ABO20"/>
      <c r="ABP20" s="1"/>
      <c r="ABQ20" s="1"/>
      <c r="ABR20" s="1"/>
      <c r="ABS20" s="120"/>
      <c r="ABT20" s="120"/>
      <c r="ABU20" s="120"/>
      <c r="ABV20"/>
      <c r="ABW20"/>
      <c r="ABX20"/>
      <c r="ABY20"/>
      <c r="ABZ20"/>
      <c r="ACA20"/>
      <c r="ACB20"/>
      <c r="ACC20"/>
      <c r="ACD20"/>
      <c r="ACE20"/>
      <c r="ACF20"/>
      <c r="ACG20" s="1"/>
      <c r="ACH20" s="1"/>
      <c r="ACI20" s="1"/>
      <c r="ACJ20" s="120"/>
      <c r="ACK20" s="120"/>
      <c r="ACL20" s="120"/>
      <c r="ACM20"/>
      <c r="ACN20"/>
      <c r="ACO20"/>
      <c r="ACP20"/>
      <c r="ACQ20"/>
      <c r="ACR20"/>
      <c r="ACS20"/>
      <c r="ACT20"/>
      <c r="ACU20"/>
      <c r="ACV20"/>
      <c r="ACW20"/>
      <c r="ACX20" s="1"/>
      <c r="ACY20" s="1"/>
      <c r="ACZ20" s="1"/>
      <c r="ADA20" s="120"/>
      <c r="ADB20" s="120"/>
      <c r="ADC20" s="120"/>
      <c r="ADD20"/>
      <c r="ADE20"/>
      <c r="ADF20"/>
      <c r="ADG20"/>
      <c r="ADH20"/>
      <c r="ADI20"/>
      <c r="ADJ20"/>
      <c r="ADK20"/>
      <c r="ADL20"/>
      <c r="ADM20"/>
      <c r="ADN20"/>
      <c r="ADO20" s="1"/>
      <c r="ADP20" s="1"/>
      <c r="ADQ20" s="1"/>
      <c r="ADR20" s="120"/>
      <c r="ADS20" s="120"/>
      <c r="ADT20" s="120"/>
      <c r="ADU20"/>
      <c r="ADV20"/>
      <c r="ADW20"/>
      <c r="ADX20"/>
      <c r="ADY20"/>
      <c r="ADZ20"/>
      <c r="AEA20"/>
      <c r="AEB20"/>
      <c r="AEC20"/>
      <c r="AED20"/>
      <c r="AEE20"/>
      <c r="AEF20" s="1"/>
      <c r="AEG20" s="1"/>
      <c r="AEH20" s="1"/>
      <c r="AEI20" s="120"/>
      <c r="AEJ20" s="120"/>
      <c r="AEK20" s="120"/>
      <c r="AEL20"/>
      <c r="AEM20"/>
      <c r="AEN20"/>
      <c r="AEO20"/>
      <c r="AEP20"/>
      <c r="AEQ20"/>
      <c r="AER20"/>
      <c r="AES20"/>
      <c r="AET20"/>
      <c r="AEU20"/>
      <c r="AEV20"/>
      <c r="AEW20" s="1"/>
      <c r="AEX20" s="1"/>
      <c r="AEY20" s="1"/>
      <c r="AEZ20" s="120"/>
      <c r="AFA20" s="120"/>
      <c r="AFB20" s="120"/>
      <c r="AFC20"/>
      <c r="AFD20"/>
      <c r="AFE20"/>
      <c r="AFF20"/>
      <c r="AFG20"/>
      <c r="AFH20"/>
      <c r="AFI20"/>
      <c r="AFJ20"/>
      <c r="AFK20"/>
      <c r="AFL20"/>
      <c r="AFM20"/>
      <c r="AFN20" s="1"/>
      <c r="AFO20" s="1"/>
      <c r="AFP20" s="1"/>
      <c r="AFQ20" s="120"/>
      <c r="AFR20" s="120"/>
      <c r="AFS20" s="120"/>
      <c r="AFT20"/>
      <c r="AFU20"/>
      <c r="AFV20"/>
      <c r="AFW20"/>
      <c r="AFX20"/>
      <c r="AFY20"/>
      <c r="AFZ20"/>
      <c r="AGA20"/>
      <c r="AGB20"/>
      <c r="AGC20"/>
      <c r="AGD20"/>
      <c r="AGE20" s="1"/>
      <c r="AGF20" s="1"/>
      <c r="AGG20" s="1"/>
      <c r="AGH20" s="120"/>
      <c r="AGI20" s="120"/>
      <c r="AGJ20" s="120"/>
      <c r="AGK20"/>
      <c r="AGL20"/>
      <c r="AGM20"/>
      <c r="AGN20"/>
      <c r="AGO20"/>
      <c r="AGP20"/>
      <c r="AGQ20"/>
      <c r="AGR20"/>
      <c r="AGS20"/>
      <c r="AGT20"/>
      <c r="AGU20"/>
      <c r="AGV20" s="1"/>
      <c r="AGW20" s="1"/>
      <c r="AGX20" s="1"/>
      <c r="AGY20" s="120"/>
      <c r="AGZ20" s="120"/>
      <c r="AHA20" s="120"/>
      <c r="AHB20"/>
      <c r="AHC20"/>
      <c r="AHD20"/>
      <c r="AHE20"/>
      <c r="AHF20"/>
      <c r="AHG20"/>
      <c r="AHH20"/>
      <c r="AHI20"/>
      <c r="AHJ20"/>
      <c r="AHK20"/>
      <c r="AHL20"/>
      <c r="AHM20" s="1"/>
      <c r="AHN20" s="1"/>
      <c r="AHO20" s="1"/>
      <c r="AHP20" s="120"/>
      <c r="AHQ20" s="120"/>
      <c r="AHR20" s="120"/>
      <c r="AHS20"/>
      <c r="AHT20"/>
      <c r="AHU20"/>
      <c r="AHV20"/>
      <c r="AHW20"/>
      <c r="AHX20"/>
      <c r="AHY20"/>
      <c r="AHZ20"/>
      <c r="AIA20"/>
      <c r="AIB20"/>
      <c r="AIC20"/>
      <c r="AID20" s="1"/>
      <c r="AIE20" s="1"/>
      <c r="AIF20" s="1"/>
      <c r="AIG20" s="120"/>
      <c r="AIH20" s="120"/>
      <c r="AII20" s="120"/>
      <c r="AIJ20"/>
      <c r="AIK20"/>
      <c r="AIL20"/>
      <c r="AIM20"/>
      <c r="AIN20"/>
      <c r="AIO20"/>
      <c r="AIP20"/>
      <c r="AIQ20"/>
      <c r="AIR20"/>
      <c r="AIS20"/>
      <c r="AIT20"/>
      <c r="AIU20" s="1"/>
      <c r="AIV20" s="1"/>
      <c r="AIW20" s="1"/>
      <c r="AIX20" s="120"/>
      <c r="AIY20" s="120"/>
      <c r="AIZ20" s="120"/>
      <c r="AJA20"/>
      <c r="AJB20"/>
      <c r="AJC20"/>
      <c r="AJD20"/>
      <c r="AJE20"/>
      <c r="AJF20"/>
      <c r="AJG20"/>
      <c r="AJH20"/>
      <c r="AJI20"/>
      <c r="AJJ20"/>
      <c r="AJK20"/>
      <c r="AJL20" s="1"/>
      <c r="AJM20" s="1"/>
      <c r="AJN20" s="1"/>
      <c r="AJO20" s="120"/>
      <c r="AJP20" s="120"/>
      <c r="AJQ20" s="120"/>
      <c r="AJR20"/>
      <c r="AJS20"/>
      <c r="AJT20"/>
      <c r="AJU20"/>
      <c r="AJV20"/>
      <c r="AJW20"/>
      <c r="AJX20"/>
      <c r="AJY20"/>
      <c r="AJZ20"/>
      <c r="AKA20"/>
      <c r="AKB20"/>
      <c r="AKC20" s="1"/>
      <c r="AKD20" s="1"/>
      <c r="AKE20" s="1"/>
      <c r="AKF20" s="120"/>
      <c r="AKG20" s="120"/>
      <c r="AKH20" s="120"/>
      <c r="AKI20"/>
      <c r="AKJ20"/>
      <c r="AKK20"/>
      <c r="AKL20"/>
      <c r="AKM20"/>
      <c r="AKN20"/>
      <c r="AKO20"/>
      <c r="AKP20"/>
      <c r="AKQ20"/>
      <c r="AKR20"/>
      <c r="AKS20"/>
      <c r="AKT20" s="1"/>
      <c r="AKU20" s="1"/>
      <c r="AKV20" s="1"/>
      <c r="AKW20" s="120"/>
      <c r="AKX20" s="120"/>
      <c r="AKY20" s="120"/>
      <c r="AKZ20"/>
      <c r="ALA20"/>
      <c r="ALB20"/>
      <c r="ALC20"/>
      <c r="ALD20"/>
      <c r="ALE20"/>
      <c r="ALF20"/>
      <c r="ALG20"/>
      <c r="ALH20"/>
      <c r="ALI20"/>
      <c r="ALJ20"/>
      <c r="ALK20" s="1"/>
      <c r="ALL20" s="1"/>
      <c r="ALM20" s="1"/>
      <c r="ALN20" s="120"/>
      <c r="ALO20" s="120"/>
      <c r="ALP20" s="120"/>
      <c r="ALQ20"/>
      <c r="ALR20"/>
      <c r="ALS20"/>
      <c r="ALT20"/>
      <c r="ALU20"/>
      <c r="ALV20"/>
      <c r="ALW20"/>
      <c r="ALX20"/>
      <c r="ALY20"/>
      <c r="ALZ20"/>
      <c r="AMA20"/>
      <c r="AMB20" s="1"/>
      <c r="AMC20" s="1"/>
      <c r="AMD20" s="1"/>
      <c r="AME20" s="120"/>
      <c r="AMF20" s="120"/>
      <c r="AMG20" s="120"/>
      <c r="AMH20"/>
      <c r="AMI20"/>
      <c r="AMJ20"/>
      <c r="AMK20"/>
      <c r="AML20"/>
      <c r="AMM20"/>
      <c r="AMN20"/>
      <c r="AMO20"/>
      <c r="AMP20"/>
      <c r="AMQ20"/>
      <c r="AMR20"/>
      <c r="AMS20" s="1"/>
      <c r="AMT20" s="1"/>
      <c r="AMU20" s="1"/>
      <c r="AMV20" s="120"/>
      <c r="AMW20" s="120"/>
      <c r="AMX20" s="120"/>
      <c r="AMY20"/>
      <c r="AMZ20"/>
      <c r="ANA20"/>
      <c r="ANB20"/>
      <c r="ANC20"/>
      <c r="AND20"/>
      <c r="ANE20"/>
      <c r="ANF20"/>
      <c r="ANG20"/>
      <c r="ANH20"/>
      <c r="ANI20"/>
      <c r="ANJ20" s="1"/>
      <c r="ANK20" s="1"/>
      <c r="ANL20" s="1"/>
      <c r="ANM20" s="120"/>
      <c r="ANN20" s="120"/>
      <c r="ANO20" s="120"/>
      <c r="ANP20"/>
      <c r="ANQ20"/>
      <c r="ANR20"/>
      <c r="ANS20"/>
      <c r="ANT20"/>
      <c r="ANU20"/>
      <c r="ANV20"/>
      <c r="ANW20"/>
      <c r="ANX20"/>
      <c r="ANY20"/>
      <c r="ANZ20"/>
      <c r="AOA20" s="1"/>
      <c r="AOB20" s="1"/>
      <c r="AOC20" s="1"/>
      <c r="AOD20" s="120"/>
      <c r="AOE20" s="120"/>
      <c r="AOF20" s="120"/>
      <c r="AOG20"/>
      <c r="AOH20"/>
      <c r="AOI20"/>
      <c r="AOJ20"/>
      <c r="AOK20"/>
      <c r="AOL20"/>
      <c r="AOM20"/>
      <c r="AON20"/>
      <c r="AOO20"/>
      <c r="AOP20"/>
      <c r="AOQ20"/>
      <c r="AOR20" s="1"/>
      <c r="AOS20" s="1"/>
      <c r="AOT20" s="1"/>
      <c r="AOU20" s="120"/>
      <c r="AOV20" s="120"/>
      <c r="AOW20" s="120"/>
      <c r="AOX20"/>
      <c r="AOY20"/>
      <c r="AOZ20"/>
      <c r="APA20"/>
      <c r="APB20"/>
      <c r="APC20"/>
      <c r="APD20"/>
      <c r="APE20"/>
      <c r="APF20"/>
      <c r="APG20"/>
      <c r="APH20"/>
      <c r="API20" s="1"/>
      <c r="APJ20" s="1"/>
      <c r="APK20" s="1"/>
      <c r="APL20" s="120"/>
      <c r="APM20" s="120"/>
      <c r="APN20" s="120"/>
      <c r="APO20"/>
      <c r="APP20"/>
      <c r="APQ20"/>
      <c r="APR20"/>
      <c r="APS20"/>
      <c r="APT20"/>
      <c r="APU20"/>
      <c r="APV20"/>
      <c r="APW20"/>
      <c r="APX20"/>
      <c r="APY20"/>
      <c r="APZ20" s="1"/>
      <c r="AQA20" s="1"/>
      <c r="AQB20" s="1"/>
      <c r="AQC20" s="120"/>
      <c r="AQD20" s="120"/>
      <c r="AQE20" s="120"/>
      <c r="AQF20"/>
      <c r="AQG20"/>
      <c r="AQH20"/>
      <c r="AQI20"/>
      <c r="AQJ20"/>
      <c r="AQK20"/>
      <c r="AQL20"/>
      <c r="AQM20"/>
      <c r="AQN20"/>
      <c r="AQO20"/>
      <c r="AQP20"/>
      <c r="AQQ20" s="1"/>
      <c r="AQR20" s="1"/>
      <c r="AQS20" s="1"/>
      <c r="AQT20" s="120"/>
      <c r="AQU20" s="120"/>
      <c r="AQV20" s="120"/>
      <c r="AQW20"/>
      <c r="AQX20"/>
      <c r="AQY20"/>
      <c r="AQZ20"/>
      <c r="ARA20"/>
      <c r="ARB20"/>
      <c r="ARC20"/>
      <c r="ARD20"/>
      <c r="ARE20"/>
      <c r="ARF20"/>
      <c r="ARG20"/>
      <c r="ARH20" s="1"/>
      <c r="ARI20" s="1"/>
      <c r="ARJ20" s="1"/>
      <c r="ARK20" s="120"/>
      <c r="ARL20" s="120"/>
      <c r="ARM20" s="120"/>
      <c r="ARN20"/>
      <c r="ARO20"/>
      <c r="ARP20"/>
      <c r="ARQ20"/>
      <c r="ARR20"/>
      <c r="ARS20"/>
      <c r="ART20"/>
      <c r="ARU20"/>
      <c r="ARV20"/>
      <c r="ARW20"/>
      <c r="ARX20"/>
      <c r="ARY20" s="1"/>
      <c r="ARZ20" s="1"/>
      <c r="ASA20" s="1"/>
      <c r="ASB20" s="120"/>
      <c r="ASC20" s="120"/>
      <c r="ASD20" s="120"/>
      <c r="ASE20"/>
      <c r="ASF20"/>
      <c r="ASG20"/>
      <c r="ASH20"/>
      <c r="ASI20"/>
      <c r="ASJ20"/>
      <c r="ASK20"/>
      <c r="ASL20"/>
      <c r="ASM20"/>
      <c r="ASN20"/>
      <c r="ASO20"/>
      <c r="ASP20" s="1"/>
      <c r="ASQ20" s="1"/>
      <c r="ASR20" s="1"/>
      <c r="ASS20" s="120"/>
      <c r="AST20" s="120"/>
      <c r="ASU20" s="120"/>
      <c r="ASV20"/>
      <c r="ASW20"/>
      <c r="ASX20"/>
      <c r="ASY20"/>
      <c r="ASZ20"/>
      <c r="ATA20"/>
      <c r="ATB20"/>
      <c r="ATC20"/>
      <c r="ATD20"/>
      <c r="ATE20"/>
      <c r="ATF20"/>
      <c r="ATG20" s="1"/>
      <c r="ATH20" s="1"/>
      <c r="ATI20" s="1"/>
      <c r="ATJ20" s="120"/>
      <c r="ATK20" s="120"/>
      <c r="ATL20" s="120"/>
      <c r="ATM20"/>
      <c r="ATN20"/>
      <c r="ATO20"/>
      <c r="ATP20"/>
      <c r="ATQ20"/>
      <c r="ATR20"/>
      <c r="ATS20"/>
      <c r="ATT20"/>
      <c r="ATU20"/>
      <c r="ATV20"/>
      <c r="ATW20"/>
      <c r="ATX20" s="1"/>
      <c r="ATY20" s="1"/>
      <c r="ATZ20" s="1"/>
      <c r="AUA20" s="120"/>
      <c r="AUB20" s="120"/>
      <c r="AUC20" s="120"/>
      <c r="AUD20"/>
      <c r="AUE20"/>
      <c r="AUF20"/>
      <c r="AUG20"/>
      <c r="AUH20"/>
      <c r="AUI20"/>
      <c r="AUJ20"/>
      <c r="AUK20"/>
      <c r="AUL20"/>
      <c r="AUM20"/>
      <c r="AUN20"/>
      <c r="AUO20" s="1"/>
      <c r="AUP20" s="1"/>
      <c r="AUQ20" s="1"/>
      <c r="AUR20" s="120"/>
      <c r="AUS20" s="120"/>
      <c r="AUT20" s="120"/>
      <c r="AUU20"/>
      <c r="AUV20"/>
      <c r="AUW20"/>
      <c r="AUX20"/>
      <c r="AUY20"/>
      <c r="AUZ20"/>
      <c r="AVA20"/>
      <c r="AVB20"/>
      <c r="AVC20"/>
      <c r="AVD20"/>
      <c r="AVE20"/>
      <c r="AVF20" s="1"/>
      <c r="AVG20" s="1"/>
      <c r="AVH20" s="1"/>
      <c r="AVI20" s="120"/>
      <c r="AVJ20" s="120"/>
      <c r="AVK20" s="120"/>
      <c r="AVL20"/>
      <c r="AVM20"/>
      <c r="AVN20"/>
      <c r="AVO20"/>
      <c r="AVP20"/>
      <c r="AVQ20"/>
      <c r="AVR20"/>
      <c r="AVS20"/>
      <c r="AVT20"/>
      <c r="AVU20"/>
      <c r="AVV20"/>
      <c r="AVW20" s="1"/>
      <c r="AVX20" s="1"/>
      <c r="AVY20" s="1"/>
      <c r="AVZ20" s="120"/>
      <c r="AWA20" s="120"/>
      <c r="AWB20" s="120"/>
      <c r="AWC20"/>
      <c r="AWD20"/>
      <c r="AWE20"/>
      <c r="AWF20"/>
      <c r="AWG20"/>
      <c r="AWH20"/>
      <c r="AWI20"/>
      <c r="AWJ20"/>
      <c r="AWK20"/>
      <c r="AWL20"/>
      <c r="AWM20"/>
      <c r="AWN20" s="1"/>
      <c r="AWO20" s="1"/>
      <c r="AWP20" s="1"/>
      <c r="AWQ20" s="120"/>
      <c r="AWR20" s="120"/>
      <c r="AWS20" s="120"/>
      <c r="AWT20"/>
      <c r="AWU20"/>
      <c r="AWV20"/>
      <c r="AWW20"/>
      <c r="AWX20"/>
      <c r="AWY20"/>
      <c r="AWZ20"/>
      <c r="AXA20"/>
      <c r="AXB20"/>
      <c r="AXC20"/>
      <c r="AXD20"/>
      <c r="AXE20" s="1"/>
      <c r="AXF20" s="1"/>
      <c r="AXG20" s="1"/>
      <c r="AXH20" s="120"/>
      <c r="AXI20" s="120"/>
      <c r="AXJ20" s="120"/>
      <c r="AXK20"/>
      <c r="AXL20"/>
      <c r="AXM20"/>
      <c r="AXN20"/>
      <c r="AXO20"/>
      <c r="AXP20"/>
      <c r="AXQ20"/>
      <c r="AXR20"/>
      <c r="AXS20"/>
      <c r="AXT20"/>
      <c r="AXU20"/>
      <c r="AXV20" s="1"/>
      <c r="AXW20" s="1"/>
      <c r="AXX20" s="1"/>
      <c r="AXY20" s="120"/>
      <c r="AXZ20" s="120"/>
      <c r="AYA20" s="120"/>
      <c r="AYB20"/>
      <c r="AYC20"/>
      <c r="AYD20"/>
      <c r="AYE20"/>
      <c r="AYF20"/>
      <c r="AYG20"/>
      <c r="AYH20"/>
      <c r="AYI20"/>
      <c r="AYJ20"/>
      <c r="AYK20"/>
      <c r="AYL20"/>
      <c r="AYM20" s="1"/>
      <c r="AYN20" s="1"/>
      <c r="AYO20" s="1"/>
      <c r="AYP20" s="120"/>
      <c r="AYQ20" s="120"/>
      <c r="AYR20" s="120"/>
      <c r="AYS20"/>
      <c r="AYT20"/>
      <c r="AYU20"/>
      <c r="AYV20"/>
      <c r="AYW20"/>
      <c r="AYX20"/>
      <c r="AYY20"/>
      <c r="AYZ20"/>
      <c r="AZA20"/>
      <c r="AZB20"/>
      <c r="AZC20"/>
      <c r="AZD20" s="1"/>
      <c r="AZE20" s="1"/>
      <c r="AZF20" s="1"/>
      <c r="AZG20" s="120"/>
      <c r="AZH20" s="120"/>
      <c r="AZI20" s="120"/>
      <c r="AZJ20"/>
      <c r="AZK20"/>
      <c r="AZL20"/>
      <c r="AZM20"/>
      <c r="AZN20"/>
      <c r="AZO20"/>
      <c r="AZP20"/>
      <c r="AZQ20"/>
      <c r="AZR20"/>
      <c r="AZS20"/>
      <c r="AZT20"/>
      <c r="AZU20" s="1"/>
      <c r="AZV20" s="1"/>
      <c r="AZW20" s="1"/>
      <c r="AZX20" s="120"/>
      <c r="AZY20" s="120"/>
      <c r="AZZ20" s="120"/>
      <c r="BAA20"/>
      <c r="BAB20"/>
      <c r="BAC20"/>
      <c r="BAD20"/>
      <c r="BAE20"/>
      <c r="BAF20"/>
      <c r="BAG20"/>
      <c r="BAH20"/>
      <c r="BAI20"/>
      <c r="BAJ20"/>
      <c r="BAK20"/>
      <c r="BAL20" s="1"/>
      <c r="BAM20" s="1"/>
      <c r="BAN20" s="1"/>
      <c r="BAO20" s="120"/>
      <c r="BAP20" s="120"/>
      <c r="BAQ20" s="120"/>
      <c r="BAR20"/>
      <c r="BAS20"/>
      <c r="BAT20"/>
      <c r="BAU20"/>
      <c r="BAV20"/>
      <c r="BAW20"/>
      <c r="BAX20"/>
      <c r="BAY20"/>
      <c r="BAZ20"/>
      <c r="BBA20"/>
      <c r="BBB20"/>
      <c r="BBC20" s="1"/>
      <c r="BBD20" s="1"/>
      <c r="BBE20" s="1"/>
      <c r="BBF20" s="120"/>
      <c r="BBG20" s="120"/>
      <c r="BBH20" s="120"/>
      <c r="BBI20"/>
      <c r="BBJ20"/>
      <c r="BBK20"/>
      <c r="BBL20"/>
      <c r="BBM20"/>
      <c r="BBN20"/>
      <c r="BBO20"/>
      <c r="BBP20"/>
      <c r="BBQ20"/>
      <c r="BBR20"/>
      <c r="BBS20"/>
      <c r="BBT20" s="1"/>
      <c r="BBU20" s="1"/>
      <c r="BBV20" s="1"/>
      <c r="BBW20" s="120"/>
      <c r="BBX20" s="120"/>
      <c r="BBY20" s="120"/>
      <c r="BBZ20"/>
      <c r="BCA20"/>
      <c r="BCB20"/>
      <c r="BCC20"/>
      <c r="BCD20"/>
      <c r="BCE20"/>
      <c r="BCF20"/>
      <c r="BCG20"/>
      <c r="BCH20"/>
      <c r="BCI20"/>
      <c r="BCJ20"/>
      <c r="BCK20" s="1"/>
      <c r="BCL20" s="1"/>
      <c r="BCM20" s="1"/>
      <c r="BCN20" s="120"/>
      <c r="BCO20" s="120"/>
      <c r="BCP20" s="120"/>
      <c r="BCQ20"/>
      <c r="BCR20"/>
      <c r="BCS20"/>
      <c r="BCT20"/>
      <c r="BCU20"/>
      <c r="BCV20"/>
      <c r="BCW20"/>
      <c r="BCX20"/>
      <c r="BCY20"/>
      <c r="BCZ20"/>
      <c r="BDA20"/>
      <c r="BDB20" s="1"/>
      <c r="BDC20" s="1"/>
      <c r="BDD20" s="1"/>
      <c r="BDE20" s="120"/>
      <c r="BDF20" s="120"/>
      <c r="BDG20" s="120"/>
      <c r="BDH20"/>
      <c r="BDI20"/>
      <c r="BDJ20"/>
      <c r="BDK20"/>
      <c r="BDL20"/>
      <c r="BDM20"/>
      <c r="BDN20"/>
      <c r="BDO20"/>
      <c r="BDP20"/>
      <c r="BDQ20"/>
      <c r="BDR20"/>
      <c r="BDS20" s="1"/>
      <c r="BDT20" s="1"/>
      <c r="BDU20" s="1"/>
      <c r="BDV20" s="120"/>
      <c r="BDW20" s="120"/>
      <c r="BDX20" s="120"/>
      <c r="BDY20"/>
      <c r="BDZ20"/>
      <c r="BEA20"/>
      <c r="BEB20"/>
      <c r="BEC20"/>
      <c r="BED20"/>
      <c r="BEE20"/>
      <c r="BEF20"/>
      <c r="BEG20"/>
      <c r="BEH20"/>
      <c r="BEI20"/>
      <c r="BEJ20" s="1"/>
      <c r="BEK20" s="1"/>
      <c r="BEL20" s="1"/>
      <c r="BEM20" s="120"/>
      <c r="BEN20" s="120"/>
      <c r="BEO20" s="120"/>
      <c r="BEP20"/>
      <c r="BEQ20"/>
      <c r="BER20"/>
      <c r="BES20"/>
      <c r="BET20"/>
      <c r="BEU20"/>
      <c r="BEV20"/>
      <c r="BEW20"/>
      <c r="BEX20"/>
      <c r="BEY20"/>
      <c r="BEZ20"/>
      <c r="BFA20" s="1"/>
      <c r="BFB20" s="1"/>
      <c r="BFC20" s="1"/>
      <c r="BFD20" s="120"/>
      <c r="BFE20" s="120"/>
      <c r="BFF20" s="120"/>
      <c r="BFG20"/>
      <c r="BFH20"/>
      <c r="BFI20"/>
      <c r="BFJ20"/>
      <c r="BFK20"/>
      <c r="BFL20"/>
      <c r="BFM20"/>
      <c r="BFN20"/>
      <c r="BFO20"/>
      <c r="BFP20"/>
      <c r="BFQ20"/>
      <c r="BFR20" s="1"/>
      <c r="BFS20" s="1"/>
      <c r="BFT20" s="1"/>
      <c r="BFU20" s="120"/>
      <c r="BFV20" s="120"/>
      <c r="BFW20" s="120"/>
      <c r="BFX20"/>
      <c r="BFY20"/>
      <c r="BFZ20"/>
      <c r="BGA20"/>
      <c r="BGB20"/>
      <c r="BGC20"/>
      <c r="BGD20"/>
      <c r="BGE20"/>
      <c r="BGF20"/>
      <c r="BGG20"/>
      <c r="BGH20"/>
      <c r="BGI20" s="1"/>
      <c r="BGJ20" s="1"/>
      <c r="BGK20" s="1"/>
      <c r="BGL20" s="120"/>
      <c r="BGM20" s="120"/>
      <c r="BGN20" s="120"/>
      <c r="BGO20"/>
      <c r="BGP20"/>
      <c r="BGQ20"/>
      <c r="BGR20"/>
      <c r="BGS20"/>
      <c r="BGT20"/>
      <c r="BGU20"/>
      <c r="BGV20"/>
      <c r="BGW20"/>
      <c r="BGX20"/>
      <c r="BGY20"/>
      <c r="BGZ20" s="1"/>
      <c r="BHA20" s="1"/>
      <c r="BHB20" s="1"/>
      <c r="BHC20" s="120"/>
      <c r="BHD20" s="120"/>
      <c r="BHE20" s="120"/>
      <c r="BHF20"/>
      <c r="BHG20"/>
      <c r="BHH20"/>
      <c r="BHI20"/>
      <c r="BHJ20"/>
      <c r="BHK20"/>
      <c r="BHL20"/>
      <c r="BHM20"/>
      <c r="BHN20"/>
      <c r="BHO20"/>
      <c r="BHP20"/>
      <c r="BHQ20" s="1"/>
      <c r="BHR20" s="1"/>
      <c r="BHS20" s="1"/>
      <c r="BHT20" s="120"/>
      <c r="BHU20" s="120"/>
      <c r="BHV20" s="120"/>
      <c r="BHW20"/>
      <c r="BHX20"/>
      <c r="BHY20"/>
      <c r="BHZ20"/>
      <c r="BIA20"/>
      <c r="BIB20"/>
      <c r="BIC20"/>
      <c r="BID20"/>
      <c r="BIE20"/>
      <c r="BIF20"/>
      <c r="BIG20"/>
      <c r="BIH20" s="1"/>
      <c r="BII20" s="1"/>
      <c r="BIJ20" s="1"/>
      <c r="BIK20" s="120"/>
      <c r="BIL20" s="120"/>
      <c r="BIM20" s="120"/>
      <c r="BIN20"/>
      <c r="BIO20"/>
      <c r="BIP20"/>
      <c r="BIQ20"/>
      <c r="BIR20"/>
      <c r="BIS20"/>
      <c r="BIT20"/>
      <c r="BIU20"/>
      <c r="BIV20"/>
      <c r="BIW20"/>
      <c r="BIX20"/>
      <c r="BIY20" s="1"/>
      <c r="BIZ20" s="1"/>
      <c r="BJA20" s="1"/>
      <c r="BJB20" s="120"/>
      <c r="BJC20" s="120"/>
      <c r="BJD20" s="120"/>
      <c r="BJE20"/>
      <c r="BJF20"/>
      <c r="BJG20"/>
      <c r="BJH20"/>
      <c r="BJI20"/>
      <c r="BJJ20"/>
      <c r="BJK20"/>
      <c r="BJL20"/>
      <c r="BJM20"/>
      <c r="BJN20"/>
      <c r="BJO20"/>
      <c r="BJP20" s="1"/>
      <c r="BJQ20" s="1"/>
      <c r="BJR20" s="1"/>
      <c r="BJS20" s="120"/>
      <c r="BJT20" s="120"/>
      <c r="BJU20" s="120"/>
      <c r="BJV20"/>
      <c r="BJW20"/>
      <c r="BJX20"/>
      <c r="BJY20"/>
      <c r="BJZ20"/>
      <c r="BKA20"/>
      <c r="BKB20"/>
      <c r="BKC20"/>
      <c r="BKD20"/>
      <c r="BKE20"/>
      <c r="BKF20"/>
      <c r="BKG20" s="1"/>
      <c r="BKH20" s="1"/>
      <c r="BKI20" s="1"/>
      <c r="BKJ20" s="120"/>
      <c r="BKK20" s="120"/>
      <c r="BKL20" s="120"/>
      <c r="BKM20"/>
      <c r="BKN20"/>
      <c r="BKO20"/>
      <c r="BKP20"/>
      <c r="BKQ20"/>
      <c r="BKR20"/>
      <c r="BKS20"/>
      <c r="BKT20"/>
      <c r="BKU20"/>
      <c r="BKV20"/>
      <c r="BKW20"/>
      <c r="BKX20" s="1"/>
      <c r="BKY20" s="1"/>
      <c r="BKZ20" s="1"/>
      <c r="BLA20" s="120"/>
      <c r="BLB20" s="120"/>
      <c r="BLC20" s="120"/>
      <c r="BLD20"/>
      <c r="BLE20"/>
      <c r="BLF20"/>
      <c r="BLG20"/>
      <c r="BLH20"/>
      <c r="BLI20"/>
      <c r="BLJ20"/>
      <c r="BLK20"/>
      <c r="BLL20"/>
      <c r="BLM20"/>
      <c r="BLN20"/>
      <c r="BLO20" s="1"/>
      <c r="BLP20" s="1"/>
      <c r="BLQ20" s="1"/>
      <c r="BLR20" s="120"/>
      <c r="BLS20" s="120"/>
      <c r="BLT20" s="120"/>
      <c r="BLU20"/>
      <c r="BLV20"/>
      <c r="BLW20"/>
      <c r="BLX20"/>
      <c r="BLY20"/>
      <c r="BLZ20"/>
      <c r="BMA20"/>
      <c r="BMB20"/>
      <c r="BMC20"/>
      <c r="BMD20"/>
      <c r="BME20"/>
      <c r="BMF20" s="1"/>
      <c r="BMG20" s="1"/>
      <c r="BMH20" s="1"/>
      <c r="BMI20" s="120"/>
      <c r="BMJ20" s="120"/>
      <c r="BMK20" s="120"/>
      <c r="BML20"/>
      <c r="BMM20"/>
      <c r="BMN20"/>
      <c r="BMO20"/>
      <c r="BMP20"/>
      <c r="BMQ20"/>
      <c r="BMR20"/>
      <c r="BMS20"/>
      <c r="BMT20"/>
      <c r="BMU20"/>
      <c r="BMV20"/>
      <c r="BMW20" s="1"/>
      <c r="BMX20" s="1"/>
      <c r="BMY20" s="1"/>
      <c r="BMZ20" s="120"/>
      <c r="BNA20" s="120"/>
      <c r="BNB20" s="120"/>
      <c r="BNC20"/>
      <c r="BND20"/>
      <c r="BNE20"/>
      <c r="BNF20"/>
      <c r="BNG20"/>
      <c r="BNH20"/>
      <c r="BNI20"/>
      <c r="BNJ20"/>
      <c r="BNK20"/>
      <c r="BNL20"/>
      <c r="BNM20"/>
      <c r="BNN20" s="1"/>
      <c r="BNO20" s="1"/>
      <c r="BNP20" s="1"/>
      <c r="BNQ20" s="120"/>
      <c r="BNR20" s="120"/>
      <c r="BNS20" s="120"/>
      <c r="BNT20"/>
      <c r="BNU20"/>
      <c r="BNV20"/>
      <c r="BNW20"/>
      <c r="BNX20"/>
      <c r="BNY20"/>
      <c r="BNZ20"/>
      <c r="BOA20"/>
      <c r="BOB20"/>
      <c r="BOC20"/>
      <c r="BOD20"/>
      <c r="BOE20" s="1"/>
      <c r="BOF20" s="1"/>
      <c r="BOG20" s="1"/>
      <c r="BOH20" s="120"/>
      <c r="BOI20" s="120"/>
      <c r="BOJ20" s="120"/>
      <c r="BOK20"/>
      <c r="BOL20"/>
      <c r="BOM20"/>
      <c r="BON20"/>
      <c r="BOO20"/>
      <c r="BOP20"/>
      <c r="BOQ20"/>
      <c r="BOR20"/>
      <c r="BOS20"/>
      <c r="BOT20"/>
      <c r="BOU20"/>
      <c r="BOV20" s="1"/>
      <c r="BOW20" s="1"/>
      <c r="BOX20" s="1"/>
      <c r="BOY20" s="120"/>
      <c r="BOZ20" s="120"/>
      <c r="BPA20" s="120"/>
      <c r="BPB20"/>
      <c r="BPC20"/>
      <c r="BPD20"/>
      <c r="BPE20"/>
      <c r="BPF20"/>
      <c r="BPG20"/>
      <c r="BPH20"/>
      <c r="BPI20"/>
      <c r="BPJ20"/>
      <c r="BPK20"/>
      <c r="BPL20"/>
      <c r="BPM20" s="1"/>
      <c r="BPN20" s="1"/>
      <c r="BPO20" s="1"/>
      <c r="BPP20" s="120"/>
      <c r="BPQ20" s="120"/>
      <c r="BPR20" s="120"/>
      <c r="BPS20"/>
      <c r="BPT20"/>
      <c r="BPU20"/>
      <c r="BPV20"/>
      <c r="BPW20"/>
      <c r="BPX20"/>
      <c r="BPY20"/>
      <c r="BPZ20"/>
      <c r="BQA20"/>
      <c r="BQB20"/>
      <c r="BQC20"/>
      <c r="BQD20" s="1"/>
      <c r="BQE20" s="1"/>
      <c r="BQF20" s="1"/>
      <c r="BQG20" s="120"/>
      <c r="BQH20" s="120"/>
      <c r="BQI20" s="120"/>
      <c r="BQJ20"/>
      <c r="BQK20"/>
      <c r="BQL20"/>
      <c r="BQM20"/>
      <c r="BQN20"/>
      <c r="BQO20"/>
      <c r="BQP20"/>
      <c r="BQQ20"/>
      <c r="BQR20"/>
      <c r="BQS20"/>
      <c r="BQT20"/>
      <c r="BQU20" s="1"/>
      <c r="BQV20" s="1"/>
      <c r="BQW20" s="1"/>
      <c r="BQX20" s="120"/>
      <c r="BQY20" s="120"/>
      <c r="BQZ20" s="120"/>
      <c r="BRA20"/>
      <c r="BRB20"/>
      <c r="BRC20"/>
      <c r="BRD20"/>
      <c r="BRE20"/>
      <c r="BRF20"/>
      <c r="BRG20"/>
      <c r="BRH20"/>
      <c r="BRI20"/>
      <c r="BRJ20"/>
      <c r="BRK20"/>
      <c r="BRL20" s="1"/>
      <c r="BRM20" s="1"/>
      <c r="BRN20" s="1"/>
      <c r="BRO20" s="120"/>
      <c r="BRP20" s="120"/>
      <c r="BRQ20" s="120"/>
      <c r="BRR20"/>
      <c r="BRS20"/>
      <c r="BRT20"/>
      <c r="BRU20"/>
      <c r="BRV20"/>
      <c r="BRW20"/>
      <c r="BRX20"/>
      <c r="BRY20"/>
      <c r="BRZ20"/>
      <c r="BSA20"/>
      <c r="BSB20"/>
      <c r="BSC20" s="1"/>
      <c r="BSD20" s="1"/>
      <c r="BSE20" s="1"/>
      <c r="BSF20" s="120"/>
      <c r="BSG20" s="120"/>
      <c r="BSH20" s="120"/>
      <c r="BSI20"/>
      <c r="BSJ20"/>
      <c r="BSK20"/>
      <c r="BSL20"/>
      <c r="BSM20"/>
      <c r="BSN20"/>
      <c r="BSO20"/>
      <c r="BSP20"/>
      <c r="BSQ20"/>
      <c r="BSR20"/>
      <c r="BSS20"/>
      <c r="BST20" s="1"/>
      <c r="BSU20" s="1"/>
      <c r="BSV20" s="1"/>
      <c r="BSW20" s="120"/>
      <c r="BSX20" s="120"/>
      <c r="BSY20" s="120"/>
      <c r="BSZ20"/>
      <c r="BTA20"/>
      <c r="BTB20"/>
      <c r="BTC20"/>
      <c r="BTD20"/>
      <c r="BTE20"/>
      <c r="BTF20"/>
      <c r="BTG20"/>
      <c r="BTH20"/>
      <c r="BTI20"/>
      <c r="BTJ20"/>
      <c r="BTK20" s="1"/>
      <c r="BTL20" s="1"/>
      <c r="BTM20" s="1"/>
      <c r="BTN20" s="120"/>
      <c r="BTO20" s="120"/>
      <c r="BTP20" s="120"/>
      <c r="BTQ20"/>
      <c r="BTR20"/>
      <c r="BTS20"/>
      <c r="BTT20"/>
      <c r="BTU20"/>
      <c r="BTV20"/>
      <c r="BTW20"/>
      <c r="BTX20"/>
      <c r="BTY20"/>
      <c r="BTZ20"/>
      <c r="BUA20"/>
      <c r="BUB20" s="1"/>
      <c r="BUC20" s="1"/>
      <c r="BUD20" s="1"/>
      <c r="BUE20" s="120"/>
      <c r="BUF20" s="120"/>
      <c r="BUG20" s="120"/>
      <c r="BUH20"/>
      <c r="BUI20"/>
      <c r="BUJ20"/>
      <c r="BUK20"/>
      <c r="BUL20"/>
      <c r="BUM20"/>
      <c r="BUN20"/>
      <c r="BUO20"/>
      <c r="BUP20"/>
      <c r="BUQ20"/>
      <c r="BUR20"/>
      <c r="BUS20" s="1"/>
      <c r="BUT20" s="1"/>
      <c r="BUU20" s="1"/>
      <c r="BUV20" s="120"/>
      <c r="BUW20" s="120"/>
      <c r="BUX20" s="120"/>
      <c r="BUY20"/>
      <c r="BUZ20"/>
      <c r="BVA20"/>
      <c r="BVB20"/>
      <c r="BVC20"/>
      <c r="BVD20"/>
      <c r="BVE20"/>
      <c r="BVF20"/>
      <c r="BVG20"/>
      <c r="BVH20"/>
      <c r="BVI20"/>
      <c r="BVJ20" s="1"/>
      <c r="BVK20" s="1"/>
      <c r="BVL20" s="1"/>
      <c r="BVM20" s="120"/>
      <c r="BVN20" s="120"/>
      <c r="BVO20" s="120"/>
      <c r="BVP20"/>
      <c r="BVQ20"/>
      <c r="BVR20"/>
      <c r="BVS20"/>
      <c r="BVT20"/>
      <c r="BVU20"/>
      <c r="BVV20"/>
      <c r="BVW20"/>
      <c r="BVX20"/>
      <c r="BVY20"/>
      <c r="BVZ20"/>
      <c r="BWA20" s="1"/>
      <c r="BWB20" s="1"/>
      <c r="BWC20" s="1"/>
      <c r="BWD20" s="120"/>
      <c r="BWE20" s="120"/>
      <c r="BWF20" s="120"/>
      <c r="BWG20"/>
      <c r="BWH20"/>
      <c r="BWI20"/>
      <c r="BWJ20"/>
      <c r="BWK20"/>
      <c r="BWL20"/>
      <c r="BWM20"/>
      <c r="BWN20"/>
      <c r="BWO20"/>
      <c r="BWP20"/>
      <c r="BWQ20"/>
      <c r="BWR20" s="1"/>
      <c r="BWS20" s="1"/>
      <c r="BWT20" s="1"/>
      <c r="BWU20" s="120"/>
      <c r="BWV20" s="120"/>
      <c r="BWW20" s="120"/>
      <c r="BWX20"/>
      <c r="BWY20"/>
      <c r="BWZ20"/>
      <c r="BXA20"/>
      <c r="BXB20"/>
      <c r="BXC20"/>
      <c r="BXD20"/>
      <c r="BXE20"/>
      <c r="BXF20"/>
      <c r="BXG20"/>
      <c r="BXH20"/>
      <c r="BXI20" s="1"/>
      <c r="BXJ20" s="1"/>
      <c r="BXK20" s="1"/>
      <c r="BXL20" s="120"/>
      <c r="BXM20" s="120"/>
      <c r="BXN20" s="120"/>
      <c r="BXO20"/>
      <c r="BXP20"/>
      <c r="BXQ20"/>
      <c r="BXR20"/>
      <c r="BXS20"/>
      <c r="BXT20"/>
      <c r="BXU20"/>
      <c r="BXV20"/>
      <c r="BXW20"/>
      <c r="BXX20"/>
      <c r="BXY20"/>
      <c r="BXZ20" s="1"/>
      <c r="BYA20" s="1"/>
      <c r="BYB20" s="1"/>
      <c r="BYC20" s="120"/>
      <c r="BYD20" s="120"/>
      <c r="BYE20" s="120"/>
      <c r="BYF20"/>
      <c r="BYG20"/>
      <c r="BYH20"/>
      <c r="BYI20"/>
      <c r="BYJ20"/>
      <c r="BYK20"/>
      <c r="BYL20"/>
      <c r="BYM20"/>
      <c r="BYN20"/>
      <c r="BYO20"/>
      <c r="BYP20"/>
      <c r="BYQ20" s="1"/>
      <c r="BYR20" s="1"/>
      <c r="BYS20" s="1"/>
      <c r="BYT20" s="120"/>
      <c r="BYU20" s="120"/>
      <c r="BYV20" s="120"/>
      <c r="BYW20"/>
      <c r="BYX20"/>
      <c r="BYY20"/>
      <c r="BYZ20"/>
      <c r="BZA20"/>
      <c r="BZB20"/>
      <c r="BZC20"/>
      <c r="BZD20"/>
      <c r="BZE20"/>
      <c r="BZF20"/>
      <c r="BZG20"/>
      <c r="BZH20" s="1"/>
      <c r="BZI20" s="1"/>
      <c r="BZJ20" s="1"/>
      <c r="BZK20" s="120"/>
      <c r="BZL20" s="120"/>
      <c r="BZM20" s="120"/>
      <c r="BZN20"/>
      <c r="BZO20"/>
      <c r="BZP20"/>
      <c r="BZQ20"/>
      <c r="BZR20"/>
      <c r="BZS20"/>
      <c r="BZT20"/>
      <c r="BZU20"/>
      <c r="BZV20"/>
      <c r="BZW20"/>
      <c r="BZX20"/>
      <c r="BZY20" s="1"/>
      <c r="BZZ20" s="1"/>
      <c r="CAA20" s="1"/>
      <c r="CAB20" s="120"/>
      <c r="CAC20" s="120"/>
      <c r="CAD20" s="120"/>
      <c r="CAE20"/>
      <c r="CAF20"/>
      <c r="CAG20"/>
      <c r="CAH20"/>
      <c r="CAI20"/>
      <c r="CAJ20"/>
      <c r="CAK20"/>
      <c r="CAL20"/>
      <c r="CAM20"/>
      <c r="CAN20"/>
      <c r="CAO20"/>
      <c r="CAP20" s="1"/>
      <c r="CAQ20" s="1"/>
      <c r="CAR20" s="1"/>
      <c r="CAS20" s="120"/>
      <c r="CAT20" s="120"/>
      <c r="CAU20" s="120"/>
      <c r="CAV20"/>
      <c r="CAW20"/>
      <c r="CAX20"/>
      <c r="CAY20"/>
      <c r="CAZ20"/>
      <c r="CBA20"/>
      <c r="CBB20"/>
      <c r="CBC20"/>
      <c r="CBD20"/>
      <c r="CBE20"/>
      <c r="CBF20"/>
      <c r="CBG20" s="1"/>
      <c r="CBH20" s="1"/>
      <c r="CBI20" s="1"/>
      <c r="CBJ20" s="120"/>
      <c r="CBK20" s="120"/>
      <c r="CBL20" s="120"/>
      <c r="CBM20"/>
      <c r="CBN20"/>
      <c r="CBO20"/>
      <c r="CBP20"/>
      <c r="CBQ20"/>
      <c r="CBR20"/>
      <c r="CBS20"/>
      <c r="CBT20"/>
      <c r="CBU20"/>
      <c r="CBV20"/>
      <c r="CBW20"/>
      <c r="CBX20" s="1"/>
      <c r="CBY20" s="1"/>
      <c r="CBZ20" s="1"/>
      <c r="CCA20" s="120"/>
      <c r="CCB20" s="120"/>
      <c r="CCC20" s="120"/>
      <c r="CCD20"/>
      <c r="CCE20"/>
      <c r="CCF20"/>
      <c r="CCG20"/>
      <c r="CCH20"/>
      <c r="CCI20"/>
      <c r="CCJ20"/>
      <c r="CCK20"/>
      <c r="CCL20"/>
      <c r="CCM20"/>
      <c r="CCN20"/>
      <c r="CCO20" s="1"/>
      <c r="CCP20" s="1"/>
      <c r="CCQ20" s="1"/>
      <c r="CCR20" s="120"/>
      <c r="CCS20" s="120"/>
      <c r="CCT20" s="120"/>
      <c r="CCU20"/>
      <c r="CCV20"/>
      <c r="CCW20"/>
      <c r="CCX20"/>
      <c r="CCY20"/>
      <c r="CCZ20"/>
      <c r="CDA20"/>
      <c r="CDB20"/>
      <c r="CDC20"/>
      <c r="CDD20"/>
      <c r="CDE20"/>
      <c r="CDF20" s="1"/>
      <c r="CDG20" s="1"/>
      <c r="CDH20" s="1"/>
      <c r="CDI20" s="120"/>
      <c r="CDJ20" s="120"/>
      <c r="CDK20" s="120"/>
      <c r="CDL20"/>
      <c r="CDM20"/>
      <c r="CDN20"/>
      <c r="CDO20"/>
      <c r="CDP20"/>
      <c r="CDQ20"/>
      <c r="CDR20"/>
      <c r="CDS20"/>
      <c r="CDT20"/>
      <c r="CDU20"/>
      <c r="CDV20"/>
      <c r="CDW20" s="1"/>
      <c r="CDX20" s="1"/>
      <c r="CDY20" s="1"/>
      <c r="CDZ20" s="120"/>
      <c r="CEA20" s="120"/>
      <c r="CEB20" s="120"/>
      <c r="CEC20"/>
      <c r="CED20"/>
      <c r="CEE20"/>
      <c r="CEF20"/>
      <c r="CEG20"/>
      <c r="CEH20"/>
      <c r="CEI20"/>
      <c r="CEJ20"/>
      <c r="CEK20"/>
      <c r="CEL20"/>
      <c r="CEM20"/>
      <c r="CEN20" s="1"/>
      <c r="CEO20" s="1"/>
      <c r="CEP20" s="1"/>
      <c r="CEQ20" s="120"/>
      <c r="CER20" s="120"/>
      <c r="CES20" s="120"/>
      <c r="CET20"/>
      <c r="CEU20"/>
      <c r="CEV20"/>
      <c r="CEW20"/>
      <c r="CEX20"/>
      <c r="CEY20"/>
      <c r="CEZ20"/>
      <c r="CFA20"/>
      <c r="CFB20"/>
      <c r="CFC20"/>
      <c r="CFD20"/>
      <c r="CFE20" s="1"/>
      <c r="CFF20" s="1"/>
      <c r="CFG20" s="1"/>
      <c r="CFH20" s="120"/>
      <c r="CFI20" s="120"/>
      <c r="CFJ20" s="120"/>
      <c r="CFK20"/>
      <c r="CFL20"/>
      <c r="CFM20"/>
      <c r="CFN20"/>
      <c r="CFO20"/>
      <c r="CFP20"/>
      <c r="CFQ20"/>
      <c r="CFR20"/>
      <c r="CFS20"/>
      <c r="CFT20"/>
      <c r="CFU20"/>
      <c r="CFV20" s="1"/>
      <c r="CFW20" s="1"/>
      <c r="CFX20" s="1"/>
      <c r="CFY20" s="120"/>
      <c r="CFZ20" s="120"/>
      <c r="CGA20" s="120"/>
      <c r="CGB20"/>
      <c r="CGC20"/>
      <c r="CGD20"/>
      <c r="CGE20"/>
      <c r="CGF20"/>
      <c r="CGG20"/>
      <c r="CGH20"/>
      <c r="CGI20"/>
      <c r="CGJ20"/>
      <c r="CGK20"/>
      <c r="CGL20"/>
      <c r="CGM20" s="1"/>
      <c r="CGN20" s="1"/>
      <c r="CGO20" s="1"/>
      <c r="CGP20" s="120"/>
      <c r="CGQ20" s="120"/>
      <c r="CGR20" s="120"/>
      <c r="CGS20"/>
      <c r="CGT20"/>
      <c r="CGU20"/>
      <c r="CGV20"/>
      <c r="CGW20"/>
      <c r="CGX20"/>
      <c r="CGY20"/>
      <c r="CGZ20"/>
      <c r="CHA20"/>
      <c r="CHB20"/>
      <c r="CHC20"/>
      <c r="CHD20" s="1"/>
      <c r="CHE20" s="1"/>
      <c r="CHF20" s="1"/>
      <c r="CHG20" s="120"/>
      <c r="CHH20" s="120"/>
      <c r="CHI20" s="120"/>
      <c r="CHJ20"/>
      <c r="CHK20"/>
      <c r="CHL20"/>
      <c r="CHM20"/>
      <c r="CHN20"/>
      <c r="CHO20"/>
      <c r="CHP20"/>
      <c r="CHQ20"/>
      <c r="CHR20"/>
      <c r="CHS20"/>
      <c r="CHT20"/>
      <c r="CHU20" s="1"/>
      <c r="CHV20" s="1"/>
      <c r="CHW20" s="1"/>
      <c r="CHX20" s="120"/>
      <c r="CHY20" s="120"/>
      <c r="CHZ20" s="120"/>
      <c r="CIA20"/>
      <c r="CIB20"/>
      <c r="CIC20"/>
      <c r="CID20"/>
      <c r="CIE20"/>
      <c r="CIF20"/>
      <c r="CIG20"/>
      <c r="CIH20"/>
      <c r="CII20"/>
      <c r="CIJ20"/>
      <c r="CIK20"/>
      <c r="CIL20" s="1"/>
      <c r="CIM20" s="1"/>
      <c r="CIN20" s="1"/>
      <c r="CIO20" s="120"/>
      <c r="CIP20" s="120"/>
      <c r="CIQ20" s="120"/>
      <c r="CIR20"/>
      <c r="CIS20"/>
      <c r="CIT20"/>
      <c r="CIU20"/>
      <c r="CIV20"/>
      <c r="CIW20"/>
      <c r="CIX20"/>
      <c r="CIY20"/>
      <c r="CIZ20"/>
      <c r="CJA20"/>
      <c r="CJB20"/>
      <c r="CJC20" s="1"/>
      <c r="CJD20" s="1"/>
      <c r="CJE20" s="1"/>
      <c r="CJF20" s="120"/>
      <c r="CJG20" s="120"/>
      <c r="CJH20" s="120"/>
      <c r="CJI20"/>
      <c r="CJJ20"/>
      <c r="CJK20"/>
      <c r="CJL20"/>
      <c r="CJM20"/>
      <c r="CJN20"/>
      <c r="CJO20"/>
      <c r="CJP20"/>
      <c r="CJQ20"/>
      <c r="CJR20"/>
      <c r="CJS20"/>
      <c r="CJT20" s="1"/>
      <c r="CJU20" s="1"/>
      <c r="CJV20" s="1"/>
      <c r="CJW20" s="120"/>
      <c r="CJX20" s="120"/>
      <c r="CJY20" s="120"/>
      <c r="CJZ20"/>
      <c r="CKA20"/>
      <c r="CKB20"/>
      <c r="CKC20"/>
      <c r="CKD20"/>
      <c r="CKE20"/>
      <c r="CKF20"/>
      <c r="CKG20"/>
      <c r="CKH20"/>
      <c r="CKI20"/>
      <c r="CKJ20"/>
      <c r="CKK20" s="1"/>
      <c r="CKL20" s="1"/>
      <c r="CKM20" s="1"/>
      <c r="CKN20" s="120"/>
      <c r="CKO20" s="120"/>
      <c r="CKP20" s="120"/>
      <c r="CKQ20"/>
      <c r="CKR20"/>
      <c r="CKS20"/>
      <c r="CKT20"/>
      <c r="CKU20"/>
      <c r="CKV20"/>
      <c r="CKW20"/>
      <c r="CKX20"/>
      <c r="CKY20"/>
      <c r="CKZ20"/>
      <c r="CLA20"/>
      <c r="CLB20" s="1"/>
      <c r="CLC20" s="1"/>
      <c r="CLD20" s="1"/>
      <c r="CLE20" s="120"/>
      <c r="CLF20" s="120"/>
      <c r="CLG20" s="120"/>
      <c r="CLH20"/>
      <c r="CLI20"/>
      <c r="CLJ20"/>
      <c r="CLK20"/>
      <c r="CLL20"/>
      <c r="CLM20"/>
      <c r="CLN20"/>
      <c r="CLO20"/>
      <c r="CLP20"/>
      <c r="CLQ20"/>
      <c r="CLR20"/>
      <c r="CLS20" s="1"/>
      <c r="CLT20" s="1"/>
      <c r="CLU20" s="1"/>
      <c r="CLV20" s="120"/>
      <c r="CLW20" s="120"/>
      <c r="CLX20" s="120"/>
      <c r="CLY20"/>
      <c r="CLZ20"/>
      <c r="CMA20"/>
      <c r="CMB20"/>
      <c r="CMC20"/>
      <c r="CMD20"/>
      <c r="CME20"/>
      <c r="CMF20"/>
      <c r="CMG20"/>
      <c r="CMH20"/>
      <c r="CMI20"/>
      <c r="CMJ20" s="1"/>
      <c r="CMK20" s="1"/>
      <c r="CML20" s="1"/>
      <c r="CMM20" s="120"/>
      <c r="CMN20" s="120"/>
      <c r="CMO20" s="120"/>
      <c r="CMP20"/>
      <c r="CMQ20"/>
      <c r="CMR20"/>
      <c r="CMS20"/>
      <c r="CMT20"/>
      <c r="CMU20"/>
      <c r="CMV20"/>
      <c r="CMW20"/>
      <c r="CMX20"/>
      <c r="CMY20"/>
      <c r="CMZ20"/>
      <c r="CNA20" s="1"/>
      <c r="CNB20" s="1"/>
      <c r="CNC20" s="1"/>
      <c r="CND20" s="120"/>
      <c r="CNE20" s="120"/>
      <c r="CNF20" s="120"/>
      <c r="CNG20"/>
      <c r="CNH20"/>
      <c r="CNI20"/>
      <c r="CNJ20"/>
      <c r="CNK20"/>
      <c r="CNL20"/>
      <c r="CNM20"/>
      <c r="CNN20"/>
      <c r="CNO20"/>
      <c r="CNP20"/>
      <c r="CNQ20"/>
      <c r="CNR20" s="1"/>
      <c r="CNS20" s="1"/>
      <c r="CNT20" s="1"/>
      <c r="CNU20" s="120"/>
      <c r="CNV20" s="120"/>
      <c r="CNW20" s="120"/>
      <c r="CNX20"/>
      <c r="CNY20"/>
      <c r="CNZ20"/>
      <c r="COA20"/>
      <c r="COB20"/>
      <c r="COC20"/>
      <c r="COD20"/>
      <c r="COE20"/>
      <c r="COF20"/>
      <c r="COG20"/>
      <c r="COH20"/>
      <c r="COI20" s="1"/>
      <c r="COJ20" s="1"/>
      <c r="COK20" s="1"/>
      <c r="COL20" s="120"/>
      <c r="COM20" s="120"/>
      <c r="CON20" s="120"/>
      <c r="COO20"/>
      <c r="COP20"/>
      <c r="COQ20"/>
      <c r="COR20"/>
      <c r="COS20"/>
      <c r="COT20"/>
      <c r="COU20"/>
      <c r="COV20"/>
      <c r="COW20"/>
      <c r="COX20"/>
      <c r="COY20"/>
      <c r="COZ20" s="1"/>
      <c r="CPA20" s="1"/>
      <c r="CPB20" s="1"/>
      <c r="CPC20" s="120"/>
      <c r="CPD20" s="120"/>
      <c r="CPE20" s="120"/>
      <c r="CPF20"/>
      <c r="CPG20"/>
      <c r="CPH20"/>
      <c r="CPI20"/>
      <c r="CPJ20"/>
      <c r="CPK20"/>
      <c r="CPL20"/>
      <c r="CPM20"/>
      <c r="CPN20"/>
      <c r="CPO20"/>
      <c r="CPP20"/>
      <c r="CPQ20" s="1"/>
      <c r="CPR20" s="1"/>
      <c r="CPS20" s="1"/>
      <c r="CPT20" s="120"/>
      <c r="CPU20" s="120"/>
      <c r="CPV20" s="120"/>
      <c r="CPW20"/>
      <c r="CPX20"/>
      <c r="CPY20"/>
      <c r="CPZ20"/>
      <c r="CQA20"/>
      <c r="CQB20"/>
      <c r="CQC20"/>
      <c r="CQD20"/>
      <c r="CQE20"/>
      <c r="CQF20"/>
      <c r="CQG20"/>
      <c r="CQH20" s="1"/>
      <c r="CQI20" s="1"/>
      <c r="CQJ20" s="1"/>
      <c r="CQK20" s="120"/>
      <c r="CQL20" s="120"/>
      <c r="CQM20" s="120"/>
      <c r="CQN20"/>
      <c r="CQO20"/>
      <c r="CQP20"/>
      <c r="CQQ20"/>
      <c r="CQR20"/>
      <c r="CQS20"/>
      <c r="CQT20"/>
      <c r="CQU20"/>
      <c r="CQV20"/>
      <c r="CQW20"/>
      <c r="CQX20"/>
      <c r="CQY20" s="1"/>
      <c r="CQZ20" s="1"/>
      <c r="CRA20" s="1"/>
      <c r="CRB20" s="120"/>
      <c r="CRC20" s="120"/>
      <c r="CRD20" s="120"/>
      <c r="CRE20"/>
      <c r="CRF20"/>
      <c r="CRG20"/>
      <c r="CRH20"/>
      <c r="CRI20"/>
      <c r="CRJ20"/>
      <c r="CRK20"/>
      <c r="CRL20"/>
      <c r="CRM20"/>
      <c r="CRN20"/>
      <c r="CRO20"/>
      <c r="CRP20" s="1"/>
      <c r="CRQ20" s="1"/>
      <c r="CRR20" s="1"/>
      <c r="CRS20" s="120"/>
      <c r="CRT20" s="120"/>
      <c r="CRU20" s="120"/>
      <c r="CRV20"/>
      <c r="CRW20"/>
      <c r="CRX20"/>
      <c r="CRY20"/>
      <c r="CRZ20"/>
      <c r="CSA20"/>
      <c r="CSB20"/>
      <c r="CSC20"/>
      <c r="CSD20"/>
      <c r="CSE20"/>
      <c r="CSF20"/>
      <c r="CSG20" s="1"/>
      <c r="CSH20" s="1"/>
      <c r="CSI20" s="1"/>
      <c r="CSJ20" s="120"/>
      <c r="CSK20" s="120"/>
      <c r="CSL20" s="120"/>
      <c r="CSM20"/>
      <c r="CSN20"/>
      <c r="CSO20"/>
      <c r="CSP20"/>
      <c r="CSQ20"/>
      <c r="CSR20"/>
      <c r="CSS20"/>
      <c r="CST20"/>
      <c r="CSU20"/>
      <c r="CSV20"/>
      <c r="CSW20"/>
      <c r="CSX20" s="1"/>
      <c r="CSY20" s="1"/>
      <c r="CSZ20" s="1"/>
      <c r="CTA20" s="120"/>
      <c r="CTB20" s="120"/>
      <c r="CTC20" s="120"/>
      <c r="CTD20"/>
      <c r="CTE20"/>
      <c r="CTF20"/>
      <c r="CTG20"/>
      <c r="CTH20"/>
      <c r="CTI20"/>
      <c r="CTJ20"/>
      <c r="CTK20"/>
      <c r="CTL20"/>
      <c r="CTM20"/>
      <c r="CTN20"/>
      <c r="CTO20" s="1"/>
      <c r="CTP20" s="1"/>
      <c r="CTQ20" s="1"/>
      <c r="CTR20" s="120"/>
      <c r="CTS20" s="120"/>
      <c r="CTT20" s="120"/>
      <c r="CTU20"/>
      <c r="CTV20"/>
      <c r="CTW20"/>
      <c r="CTX20"/>
      <c r="CTY20"/>
      <c r="CTZ20"/>
      <c r="CUA20"/>
      <c r="CUB20"/>
      <c r="CUC20"/>
      <c r="CUD20"/>
      <c r="CUE20"/>
      <c r="CUF20" s="1"/>
      <c r="CUG20" s="1"/>
      <c r="CUH20" s="1"/>
      <c r="CUI20" s="120"/>
      <c r="CUJ20" s="120"/>
      <c r="CUK20" s="120"/>
      <c r="CUL20"/>
      <c r="CUM20"/>
      <c r="CUN20"/>
      <c r="CUO20"/>
      <c r="CUP20"/>
      <c r="CUQ20"/>
      <c r="CUR20"/>
      <c r="CUS20"/>
      <c r="CUT20"/>
      <c r="CUU20"/>
      <c r="CUV20"/>
      <c r="CUW20" s="1"/>
      <c r="CUX20" s="1"/>
      <c r="CUY20" s="1"/>
      <c r="CUZ20" s="120"/>
      <c r="CVA20" s="120"/>
      <c r="CVB20" s="120"/>
      <c r="CVC20"/>
      <c r="CVD20"/>
      <c r="CVE20"/>
      <c r="CVF20"/>
      <c r="CVG20"/>
      <c r="CVH20"/>
      <c r="CVI20"/>
      <c r="CVJ20"/>
      <c r="CVK20"/>
      <c r="CVL20"/>
      <c r="CVM20"/>
      <c r="CVN20" s="1"/>
      <c r="CVO20" s="1"/>
      <c r="CVP20" s="1"/>
      <c r="CVQ20" s="120"/>
      <c r="CVR20" s="120"/>
      <c r="CVS20" s="120"/>
      <c r="CVT20"/>
      <c r="CVU20"/>
      <c r="CVV20"/>
      <c r="CVW20"/>
      <c r="CVX20"/>
      <c r="CVY20"/>
      <c r="CVZ20"/>
      <c r="CWA20"/>
      <c r="CWB20"/>
      <c r="CWC20"/>
      <c r="CWD20"/>
      <c r="CWE20" s="1"/>
      <c r="CWF20" s="1"/>
      <c r="CWG20" s="1"/>
      <c r="CWH20" s="120"/>
      <c r="CWI20" s="120"/>
      <c r="CWJ20" s="120"/>
      <c r="CWK20"/>
      <c r="CWL20"/>
      <c r="CWM20"/>
      <c r="CWN20"/>
      <c r="CWO20"/>
      <c r="CWP20"/>
      <c r="CWQ20"/>
      <c r="CWR20"/>
      <c r="CWS20"/>
      <c r="CWT20"/>
      <c r="CWU20"/>
      <c r="CWV20" s="1"/>
      <c r="CWW20" s="1"/>
      <c r="CWX20" s="1"/>
      <c r="CWY20" s="120"/>
      <c r="CWZ20" s="120"/>
      <c r="CXA20" s="120"/>
      <c r="CXB20"/>
      <c r="CXC20"/>
      <c r="CXD20"/>
      <c r="CXE20"/>
      <c r="CXF20"/>
      <c r="CXG20"/>
      <c r="CXH20"/>
      <c r="CXI20"/>
      <c r="CXJ20"/>
      <c r="CXK20"/>
      <c r="CXL20"/>
      <c r="CXM20" s="1"/>
      <c r="CXN20" s="1"/>
      <c r="CXO20" s="1"/>
      <c r="CXP20" s="120"/>
      <c r="CXQ20" s="120"/>
      <c r="CXR20" s="120"/>
      <c r="CXS20"/>
      <c r="CXT20"/>
      <c r="CXU20"/>
      <c r="CXV20"/>
      <c r="CXW20"/>
      <c r="CXX20"/>
      <c r="CXY20"/>
      <c r="CXZ20"/>
      <c r="CYA20"/>
      <c r="CYB20"/>
      <c r="CYC20"/>
      <c r="CYD20" s="1"/>
      <c r="CYE20" s="1"/>
      <c r="CYF20" s="1"/>
      <c r="CYG20" s="120"/>
      <c r="CYH20" s="120"/>
      <c r="CYI20" s="120"/>
      <c r="CYJ20"/>
      <c r="CYK20"/>
      <c r="CYL20"/>
      <c r="CYM20"/>
      <c r="CYN20"/>
      <c r="CYO20"/>
      <c r="CYP20"/>
      <c r="CYQ20"/>
      <c r="CYR20"/>
      <c r="CYS20"/>
      <c r="CYT20"/>
      <c r="CYU20" s="1"/>
      <c r="CYV20" s="1"/>
      <c r="CYW20" s="1"/>
      <c r="CYX20" s="120"/>
      <c r="CYY20" s="120"/>
      <c r="CYZ20" s="120"/>
      <c r="CZA20"/>
      <c r="CZB20"/>
      <c r="CZC20"/>
      <c r="CZD20"/>
      <c r="CZE20"/>
      <c r="CZF20"/>
      <c r="CZG20"/>
      <c r="CZH20"/>
      <c r="CZI20"/>
      <c r="CZJ20"/>
      <c r="CZK20"/>
      <c r="CZL20" s="1"/>
      <c r="CZM20" s="1"/>
      <c r="CZN20" s="1"/>
      <c r="CZO20" s="120"/>
      <c r="CZP20" s="120"/>
      <c r="CZQ20" s="120"/>
      <c r="CZR20"/>
      <c r="CZS20"/>
      <c r="CZT20"/>
      <c r="CZU20"/>
      <c r="CZV20"/>
      <c r="CZW20"/>
      <c r="CZX20"/>
      <c r="CZY20"/>
      <c r="CZZ20"/>
      <c r="DAA20"/>
      <c r="DAB20"/>
      <c r="DAC20" s="1"/>
      <c r="DAD20" s="1"/>
      <c r="DAE20" s="1"/>
      <c r="DAF20" s="120"/>
      <c r="DAG20" s="120"/>
      <c r="DAH20" s="120"/>
      <c r="DAI20"/>
      <c r="DAJ20"/>
      <c r="DAK20"/>
      <c r="DAL20"/>
      <c r="DAM20"/>
      <c r="DAN20"/>
      <c r="DAO20"/>
      <c r="DAP20"/>
      <c r="DAQ20"/>
      <c r="DAR20"/>
      <c r="DAS20"/>
      <c r="DAT20" s="1"/>
      <c r="DAU20" s="1"/>
      <c r="DAV20" s="1"/>
      <c r="DAW20" s="120"/>
      <c r="DAX20" s="120"/>
      <c r="DAY20" s="120"/>
      <c r="DAZ20"/>
      <c r="DBA20"/>
      <c r="DBB20"/>
      <c r="DBC20"/>
      <c r="DBD20"/>
      <c r="DBE20"/>
      <c r="DBF20"/>
      <c r="DBG20"/>
      <c r="DBH20"/>
      <c r="DBI20"/>
      <c r="DBJ20"/>
      <c r="DBK20" s="1"/>
      <c r="DBL20" s="1"/>
      <c r="DBM20" s="1"/>
      <c r="DBN20" s="120"/>
      <c r="DBO20" s="120"/>
      <c r="DBP20" s="120"/>
      <c r="DBQ20"/>
      <c r="DBR20"/>
      <c r="DBS20"/>
      <c r="DBT20"/>
      <c r="DBU20"/>
      <c r="DBV20"/>
      <c r="DBW20"/>
      <c r="DBX20"/>
      <c r="DBY20"/>
      <c r="DBZ20"/>
      <c r="DCA20"/>
      <c r="DCB20" s="1"/>
      <c r="DCC20" s="1"/>
      <c r="DCD20" s="1"/>
      <c r="DCE20" s="120"/>
      <c r="DCF20" s="120"/>
      <c r="DCG20" s="120"/>
      <c r="DCH20"/>
      <c r="DCI20"/>
      <c r="DCJ20"/>
      <c r="DCK20"/>
      <c r="DCL20"/>
      <c r="DCM20"/>
      <c r="DCN20"/>
      <c r="DCO20"/>
      <c r="DCP20"/>
      <c r="DCQ20"/>
      <c r="DCR20"/>
      <c r="DCS20" s="1"/>
      <c r="DCT20" s="1"/>
      <c r="DCU20" s="1"/>
      <c r="DCV20" s="120"/>
      <c r="DCW20" s="120"/>
      <c r="DCX20" s="120"/>
      <c r="DCY20"/>
      <c r="DCZ20"/>
      <c r="DDA20"/>
      <c r="DDB20"/>
      <c r="DDC20"/>
      <c r="DDD20"/>
      <c r="DDE20"/>
      <c r="DDF20"/>
      <c r="DDG20"/>
      <c r="DDH20"/>
      <c r="DDI20"/>
      <c r="DDJ20" s="1"/>
      <c r="DDK20" s="1"/>
      <c r="DDL20" s="1"/>
      <c r="DDM20" s="120"/>
      <c r="DDN20" s="120"/>
      <c r="DDO20" s="120"/>
      <c r="DDP20"/>
      <c r="DDQ20"/>
      <c r="DDR20"/>
      <c r="DDS20"/>
      <c r="DDT20"/>
      <c r="DDU20"/>
      <c r="DDV20"/>
      <c r="DDW20"/>
      <c r="DDX20"/>
      <c r="DDY20"/>
      <c r="DDZ20"/>
      <c r="DEA20" s="1"/>
      <c r="DEB20" s="1"/>
      <c r="DEC20" s="1"/>
      <c r="DED20" s="120"/>
      <c r="DEE20" s="120"/>
      <c r="DEF20" s="120"/>
      <c r="DEG20"/>
      <c r="DEH20"/>
      <c r="DEI20"/>
      <c r="DEJ20"/>
      <c r="DEK20"/>
      <c r="DEL20"/>
      <c r="DEM20"/>
      <c r="DEN20"/>
      <c r="DEO20"/>
      <c r="DEP20"/>
      <c r="DEQ20"/>
      <c r="DER20" s="1"/>
      <c r="DES20" s="1"/>
      <c r="DET20" s="1"/>
      <c r="DEU20" s="120"/>
      <c r="DEV20" s="120"/>
      <c r="DEW20" s="120"/>
      <c r="DEX20"/>
      <c r="DEY20"/>
      <c r="DEZ20"/>
      <c r="DFA20"/>
      <c r="DFB20"/>
      <c r="DFC20"/>
      <c r="DFD20"/>
      <c r="DFE20"/>
      <c r="DFF20"/>
      <c r="DFG20"/>
      <c r="DFH20"/>
      <c r="DFI20" s="1"/>
      <c r="DFJ20" s="1"/>
      <c r="DFK20" s="1"/>
      <c r="DFL20" s="120"/>
      <c r="DFM20" s="120"/>
      <c r="DFN20" s="120"/>
      <c r="DFO20"/>
      <c r="DFP20"/>
      <c r="DFQ20"/>
      <c r="DFR20"/>
      <c r="DFS20"/>
      <c r="DFT20"/>
      <c r="DFU20"/>
      <c r="DFV20"/>
      <c r="DFW20"/>
      <c r="DFX20"/>
      <c r="DFY20"/>
      <c r="DFZ20" s="1"/>
      <c r="DGA20" s="1"/>
      <c r="DGB20" s="1"/>
      <c r="DGC20" s="120"/>
      <c r="DGD20" s="120"/>
      <c r="DGE20" s="120"/>
      <c r="DGF20"/>
      <c r="DGG20"/>
      <c r="DGH20"/>
      <c r="DGI20"/>
      <c r="DGJ20"/>
      <c r="DGK20"/>
      <c r="DGL20"/>
      <c r="DGM20"/>
      <c r="DGN20"/>
      <c r="DGO20"/>
      <c r="DGP20"/>
      <c r="DGQ20" s="1"/>
      <c r="DGR20" s="1"/>
      <c r="DGS20" s="1"/>
      <c r="DGT20" s="120"/>
      <c r="DGU20" s="120"/>
      <c r="DGV20" s="120"/>
      <c r="DGW20"/>
      <c r="DGX20"/>
      <c r="DGY20"/>
      <c r="DGZ20"/>
      <c r="DHA20"/>
      <c r="DHB20"/>
      <c r="DHC20"/>
      <c r="DHD20"/>
      <c r="DHE20"/>
      <c r="DHF20"/>
      <c r="DHG20"/>
      <c r="DHH20" s="1"/>
      <c r="DHI20" s="1"/>
      <c r="DHJ20" s="1"/>
      <c r="DHK20" s="120"/>
      <c r="DHL20" s="120"/>
      <c r="DHM20" s="120"/>
      <c r="DHN20"/>
      <c r="DHO20"/>
      <c r="DHP20"/>
      <c r="DHQ20"/>
      <c r="DHR20"/>
      <c r="DHS20"/>
      <c r="DHT20"/>
      <c r="DHU20"/>
      <c r="DHV20"/>
      <c r="DHW20"/>
      <c r="DHX20"/>
      <c r="DHY20" s="1"/>
      <c r="DHZ20" s="1"/>
      <c r="DIA20" s="1"/>
      <c r="DIB20" s="120"/>
      <c r="DIC20" s="120"/>
      <c r="DID20" s="120"/>
      <c r="DIE20"/>
      <c r="DIF20"/>
      <c r="DIG20"/>
      <c r="DIH20"/>
      <c r="DII20"/>
      <c r="DIJ20"/>
      <c r="DIK20"/>
      <c r="DIL20"/>
      <c r="DIM20"/>
      <c r="DIN20"/>
      <c r="DIO20"/>
      <c r="DIP20" s="1"/>
      <c r="DIQ20" s="1"/>
      <c r="DIR20" s="1"/>
      <c r="DIS20" s="120"/>
      <c r="DIT20" s="120"/>
      <c r="DIU20" s="120"/>
      <c r="DIV20"/>
      <c r="DIW20"/>
      <c r="DIX20"/>
      <c r="DIY20"/>
      <c r="DIZ20"/>
      <c r="DJA20"/>
      <c r="DJB20"/>
      <c r="DJC20"/>
      <c r="DJD20"/>
      <c r="DJE20"/>
      <c r="DJF20"/>
      <c r="DJG20" s="1"/>
      <c r="DJH20" s="1"/>
      <c r="DJI20" s="1"/>
      <c r="DJJ20" s="120"/>
      <c r="DJK20" s="120"/>
      <c r="DJL20" s="120"/>
      <c r="DJM20"/>
      <c r="DJN20"/>
      <c r="DJO20"/>
      <c r="DJP20"/>
      <c r="DJQ20"/>
      <c r="DJR20"/>
      <c r="DJS20"/>
      <c r="DJT20"/>
      <c r="DJU20"/>
      <c r="DJV20"/>
      <c r="DJW20"/>
      <c r="DJX20" s="1"/>
      <c r="DJY20" s="1"/>
      <c r="DJZ20" s="1"/>
      <c r="DKA20" s="120"/>
      <c r="DKB20" s="120"/>
      <c r="DKC20" s="120"/>
      <c r="DKD20"/>
      <c r="DKE20"/>
      <c r="DKF20"/>
      <c r="DKG20"/>
      <c r="DKH20"/>
      <c r="DKI20"/>
      <c r="DKJ20"/>
      <c r="DKK20"/>
      <c r="DKL20"/>
      <c r="DKM20"/>
      <c r="DKN20"/>
      <c r="DKO20" s="1"/>
      <c r="DKP20" s="1"/>
      <c r="DKQ20" s="1"/>
      <c r="DKR20" s="120"/>
      <c r="DKS20" s="120"/>
      <c r="DKT20" s="120"/>
      <c r="DKU20"/>
      <c r="DKV20"/>
      <c r="DKW20"/>
      <c r="DKX20"/>
      <c r="DKY20"/>
      <c r="DKZ20"/>
      <c r="DLA20"/>
      <c r="DLB20"/>
      <c r="DLC20"/>
      <c r="DLD20"/>
      <c r="DLE20"/>
      <c r="DLF20" s="1"/>
      <c r="DLG20" s="1"/>
      <c r="DLH20" s="1"/>
      <c r="DLI20" s="120"/>
      <c r="DLJ20" s="120"/>
      <c r="DLK20" s="120"/>
      <c r="DLL20"/>
      <c r="DLM20"/>
      <c r="DLN20"/>
      <c r="DLO20"/>
      <c r="DLP20"/>
      <c r="DLQ20"/>
      <c r="DLR20"/>
      <c r="DLS20"/>
      <c r="DLT20"/>
      <c r="DLU20"/>
      <c r="DLV20"/>
      <c r="DLW20" s="1"/>
      <c r="DLX20" s="1"/>
      <c r="DLY20" s="1"/>
      <c r="DLZ20" s="120"/>
      <c r="DMA20" s="120"/>
      <c r="DMB20" s="120"/>
      <c r="DMC20"/>
      <c r="DMD20"/>
      <c r="DME20"/>
      <c r="DMF20"/>
      <c r="DMG20"/>
      <c r="DMH20"/>
      <c r="DMI20"/>
      <c r="DMJ20"/>
      <c r="DMK20"/>
      <c r="DML20"/>
      <c r="DMM20"/>
      <c r="DMN20" s="1"/>
      <c r="DMO20" s="1"/>
      <c r="DMP20" s="1"/>
      <c r="DMQ20" s="120"/>
      <c r="DMR20" s="120"/>
      <c r="DMS20" s="120"/>
      <c r="DMT20"/>
      <c r="DMU20"/>
      <c r="DMV20"/>
      <c r="DMW20"/>
      <c r="DMX20"/>
      <c r="DMY20"/>
      <c r="DMZ20"/>
      <c r="DNA20"/>
      <c r="DNB20"/>
      <c r="DNC20"/>
      <c r="DND20"/>
      <c r="DNE20" s="1"/>
      <c r="DNF20" s="1"/>
      <c r="DNG20" s="1"/>
      <c r="DNH20" s="120"/>
      <c r="DNI20" s="120"/>
      <c r="DNJ20" s="120"/>
      <c r="DNK20"/>
      <c r="DNL20"/>
      <c r="DNM20"/>
      <c r="DNN20"/>
      <c r="DNO20"/>
      <c r="DNP20"/>
      <c r="DNQ20"/>
      <c r="DNR20"/>
      <c r="DNS20"/>
      <c r="DNT20"/>
      <c r="DNU20"/>
      <c r="DNV20" s="1"/>
      <c r="DNW20" s="1"/>
      <c r="DNX20" s="1"/>
      <c r="DNY20" s="120"/>
      <c r="DNZ20" s="120"/>
      <c r="DOA20" s="120"/>
      <c r="DOB20"/>
      <c r="DOC20"/>
      <c r="DOD20"/>
      <c r="DOE20"/>
      <c r="DOF20"/>
      <c r="DOG20"/>
      <c r="DOH20"/>
      <c r="DOI20"/>
      <c r="DOJ20"/>
      <c r="DOK20"/>
      <c r="DOL20"/>
      <c r="DOM20" s="1"/>
      <c r="DON20" s="1"/>
      <c r="DOO20" s="1"/>
      <c r="DOP20" s="120"/>
      <c r="DOQ20" s="120"/>
      <c r="DOR20" s="120"/>
      <c r="DOS20"/>
      <c r="DOT20"/>
      <c r="DOU20"/>
      <c r="DOV20"/>
      <c r="DOW20"/>
      <c r="DOX20"/>
      <c r="DOY20"/>
      <c r="DOZ20"/>
      <c r="DPA20"/>
      <c r="DPB20"/>
      <c r="DPC20"/>
      <c r="DPD20" s="1"/>
      <c r="DPE20" s="1"/>
      <c r="DPF20" s="1"/>
      <c r="DPG20" s="120"/>
      <c r="DPH20" s="120"/>
      <c r="DPI20" s="120"/>
      <c r="DPJ20"/>
      <c r="DPK20"/>
      <c r="DPL20"/>
      <c r="DPM20"/>
      <c r="DPN20"/>
      <c r="DPO20"/>
      <c r="DPP20"/>
      <c r="DPQ20"/>
      <c r="DPR20"/>
      <c r="DPS20"/>
      <c r="DPT20"/>
      <c r="DPU20" s="1"/>
      <c r="DPV20" s="1"/>
      <c r="DPW20" s="1"/>
      <c r="DPX20" s="120"/>
      <c r="DPY20" s="120"/>
      <c r="DPZ20" s="120"/>
      <c r="DQA20"/>
      <c r="DQB20"/>
      <c r="DQC20"/>
      <c r="DQD20"/>
      <c r="DQE20"/>
      <c r="DQF20"/>
      <c r="DQG20"/>
      <c r="DQH20"/>
      <c r="DQI20"/>
      <c r="DQJ20"/>
      <c r="DQK20"/>
      <c r="DQL20" s="1"/>
      <c r="DQM20" s="1"/>
      <c r="DQN20" s="1"/>
      <c r="DQO20" s="120"/>
      <c r="DQP20" s="120"/>
      <c r="DQQ20" s="120"/>
      <c r="DQR20"/>
      <c r="DQS20"/>
      <c r="DQT20"/>
      <c r="DQU20"/>
      <c r="DQV20"/>
      <c r="DQW20"/>
      <c r="DQX20"/>
      <c r="DQY20"/>
      <c r="DQZ20"/>
      <c r="DRA20"/>
      <c r="DRB20"/>
      <c r="DRC20" s="1"/>
      <c r="DRD20" s="1"/>
      <c r="DRE20" s="1"/>
      <c r="DRF20" s="120"/>
      <c r="DRG20" s="120"/>
      <c r="DRH20" s="120"/>
      <c r="DRI20"/>
      <c r="DRJ20"/>
      <c r="DRK20"/>
      <c r="DRL20"/>
      <c r="DRM20"/>
      <c r="DRN20"/>
      <c r="DRO20"/>
      <c r="DRP20"/>
      <c r="DRQ20"/>
      <c r="DRR20"/>
      <c r="DRS20"/>
      <c r="DRT20" s="1"/>
      <c r="DRU20" s="1"/>
      <c r="DRV20" s="1"/>
      <c r="DRW20" s="120"/>
      <c r="DRX20" s="120"/>
      <c r="DRY20" s="120"/>
      <c r="DRZ20"/>
      <c r="DSA20"/>
      <c r="DSB20"/>
      <c r="DSC20"/>
      <c r="DSD20"/>
      <c r="DSE20"/>
      <c r="DSF20"/>
      <c r="DSG20"/>
      <c r="DSH20"/>
      <c r="DSI20"/>
      <c r="DSJ20"/>
      <c r="DSK20" s="1"/>
      <c r="DSL20" s="1"/>
      <c r="DSM20" s="1"/>
      <c r="DSN20" s="120"/>
      <c r="DSO20" s="120"/>
      <c r="DSP20" s="120"/>
      <c r="DSQ20"/>
      <c r="DSR20"/>
      <c r="DSS20"/>
      <c r="DST20"/>
      <c r="DSU20"/>
      <c r="DSV20"/>
      <c r="DSW20"/>
      <c r="DSX20"/>
      <c r="DSY20"/>
      <c r="DSZ20"/>
      <c r="DTA20"/>
      <c r="DTB20" s="1"/>
      <c r="DTC20" s="1"/>
      <c r="DTD20" s="1"/>
      <c r="DTE20" s="120"/>
      <c r="DTF20" s="120"/>
      <c r="DTG20" s="120"/>
      <c r="DTH20"/>
      <c r="DTI20"/>
      <c r="DTJ20"/>
      <c r="DTK20"/>
      <c r="DTL20"/>
      <c r="DTM20"/>
      <c r="DTN20"/>
      <c r="DTO20"/>
      <c r="DTP20"/>
      <c r="DTQ20"/>
      <c r="DTR20"/>
      <c r="DTS20" s="1"/>
      <c r="DTT20" s="1"/>
      <c r="DTU20" s="1"/>
      <c r="DTV20" s="120"/>
      <c r="DTW20" s="120"/>
      <c r="DTX20" s="120"/>
      <c r="DTY20"/>
      <c r="DTZ20"/>
      <c r="DUA20"/>
      <c r="DUB20"/>
      <c r="DUC20"/>
      <c r="DUD20"/>
      <c r="DUE20"/>
      <c r="DUF20"/>
      <c r="DUG20"/>
      <c r="DUH20"/>
      <c r="DUI20"/>
      <c r="DUJ20" s="1"/>
      <c r="DUK20" s="1"/>
      <c r="DUL20" s="1"/>
      <c r="DUM20" s="120"/>
      <c r="DUN20" s="120"/>
      <c r="DUO20" s="120"/>
      <c r="DUP20"/>
      <c r="DUQ20"/>
      <c r="DUR20"/>
      <c r="DUS20"/>
      <c r="DUT20"/>
      <c r="DUU20"/>
      <c r="DUV20"/>
      <c r="DUW20"/>
      <c r="DUX20"/>
      <c r="DUY20"/>
      <c r="DUZ20"/>
      <c r="DVA20" s="1"/>
      <c r="DVB20" s="1"/>
      <c r="DVC20" s="1"/>
      <c r="DVD20" s="120"/>
      <c r="DVE20" s="120"/>
      <c r="DVF20" s="120"/>
      <c r="DVG20"/>
      <c r="DVH20"/>
      <c r="DVI20"/>
      <c r="DVJ20"/>
      <c r="DVK20"/>
      <c r="DVL20"/>
      <c r="DVM20"/>
      <c r="DVN20"/>
      <c r="DVO20"/>
      <c r="DVP20"/>
      <c r="DVQ20"/>
      <c r="DVR20" s="1"/>
      <c r="DVS20" s="1"/>
      <c r="DVT20" s="1"/>
      <c r="DVU20" s="120"/>
      <c r="DVV20" s="120"/>
      <c r="DVW20" s="120"/>
      <c r="DVX20"/>
      <c r="DVY20"/>
      <c r="DVZ20"/>
      <c r="DWA20"/>
      <c r="DWB20"/>
      <c r="DWC20"/>
      <c r="DWD20"/>
      <c r="DWE20"/>
      <c r="DWF20"/>
      <c r="DWG20"/>
      <c r="DWH20"/>
      <c r="DWI20" s="1"/>
      <c r="DWJ20" s="1"/>
      <c r="DWK20" s="1"/>
      <c r="DWL20" s="120"/>
      <c r="DWM20" s="120"/>
      <c r="DWN20" s="120"/>
      <c r="DWO20"/>
      <c r="DWP20"/>
      <c r="DWQ20"/>
      <c r="DWR20"/>
      <c r="DWS20"/>
      <c r="DWT20"/>
      <c r="DWU20"/>
      <c r="DWV20"/>
      <c r="DWW20"/>
      <c r="DWX20"/>
      <c r="DWY20"/>
      <c r="DWZ20" s="1"/>
      <c r="DXA20" s="1"/>
      <c r="DXB20" s="1"/>
      <c r="DXC20" s="120"/>
      <c r="DXD20" s="120"/>
      <c r="DXE20" s="120"/>
      <c r="DXF20"/>
      <c r="DXG20"/>
      <c r="DXH20"/>
      <c r="DXI20"/>
      <c r="DXJ20"/>
      <c r="DXK20"/>
      <c r="DXL20"/>
      <c r="DXM20"/>
      <c r="DXN20"/>
      <c r="DXO20"/>
      <c r="DXP20"/>
      <c r="DXQ20" s="1"/>
      <c r="DXR20" s="1"/>
      <c r="DXS20" s="1"/>
      <c r="DXT20" s="120"/>
      <c r="DXU20" s="120"/>
      <c r="DXV20" s="120"/>
      <c r="DXW20"/>
      <c r="DXX20"/>
      <c r="DXY20"/>
      <c r="DXZ20"/>
      <c r="DYA20"/>
      <c r="DYB20"/>
      <c r="DYC20"/>
      <c r="DYD20"/>
      <c r="DYE20"/>
      <c r="DYF20"/>
      <c r="DYG20"/>
      <c r="DYH20" s="1"/>
      <c r="DYI20" s="1"/>
      <c r="DYJ20" s="1"/>
      <c r="DYK20" s="120"/>
      <c r="DYL20" s="120"/>
      <c r="DYM20" s="120"/>
      <c r="DYN20"/>
      <c r="DYO20"/>
      <c r="DYP20"/>
      <c r="DYQ20"/>
      <c r="DYR20"/>
      <c r="DYS20"/>
      <c r="DYT20"/>
      <c r="DYU20"/>
      <c r="DYV20"/>
      <c r="DYW20"/>
      <c r="DYX20"/>
      <c r="DYY20" s="1"/>
      <c r="DYZ20" s="1"/>
      <c r="DZA20" s="1"/>
      <c r="DZB20" s="120"/>
      <c r="DZC20" s="120"/>
      <c r="DZD20" s="120"/>
      <c r="DZE20"/>
      <c r="DZF20"/>
      <c r="DZG20"/>
      <c r="DZH20"/>
      <c r="DZI20"/>
      <c r="DZJ20"/>
      <c r="DZK20"/>
      <c r="DZL20"/>
      <c r="DZM20"/>
      <c r="DZN20"/>
      <c r="DZO20"/>
      <c r="DZP20" s="1"/>
      <c r="DZQ20" s="1"/>
      <c r="DZR20" s="1"/>
      <c r="DZS20" s="120"/>
      <c r="DZT20" s="120"/>
      <c r="DZU20" s="120"/>
      <c r="DZV20"/>
      <c r="DZW20"/>
      <c r="DZX20"/>
      <c r="DZY20"/>
      <c r="DZZ20"/>
      <c r="EAA20"/>
      <c r="EAB20"/>
      <c r="EAC20"/>
      <c r="EAD20"/>
      <c r="EAE20"/>
      <c r="EAF20"/>
      <c r="EAG20" s="1"/>
      <c r="EAH20" s="1"/>
      <c r="EAI20" s="1"/>
      <c r="EAJ20" s="120"/>
      <c r="EAK20" s="120"/>
      <c r="EAL20" s="120"/>
      <c r="EAM20"/>
      <c r="EAN20"/>
      <c r="EAO20"/>
      <c r="EAP20"/>
      <c r="EAQ20"/>
      <c r="EAR20"/>
      <c r="EAS20"/>
      <c r="EAT20"/>
      <c r="EAU20"/>
      <c r="EAV20"/>
      <c r="EAW20"/>
      <c r="EAX20" s="1"/>
      <c r="EAY20" s="1"/>
      <c r="EAZ20" s="1"/>
      <c r="EBA20" s="120"/>
      <c r="EBB20" s="120"/>
      <c r="EBC20" s="120"/>
      <c r="EBD20"/>
      <c r="EBE20"/>
      <c r="EBF20"/>
      <c r="EBG20"/>
      <c r="EBH20"/>
      <c r="EBI20"/>
      <c r="EBJ20"/>
      <c r="EBK20"/>
      <c r="EBL20"/>
      <c r="EBM20"/>
      <c r="EBN20"/>
      <c r="EBO20" s="1"/>
      <c r="EBP20" s="1"/>
      <c r="EBQ20" s="1"/>
      <c r="EBR20" s="120"/>
      <c r="EBS20" s="120"/>
      <c r="EBT20" s="120"/>
      <c r="EBU20"/>
      <c r="EBV20"/>
      <c r="EBW20"/>
      <c r="EBX20"/>
      <c r="EBY20"/>
      <c r="EBZ20"/>
      <c r="ECA20"/>
      <c r="ECB20"/>
      <c r="ECC20"/>
      <c r="ECD20"/>
      <c r="ECE20"/>
      <c r="ECF20" s="1"/>
      <c r="ECG20" s="1"/>
      <c r="ECH20" s="1"/>
      <c r="ECI20" s="120"/>
      <c r="ECJ20" s="120"/>
      <c r="ECK20" s="120"/>
      <c r="ECL20"/>
      <c r="ECM20"/>
      <c r="ECN20"/>
      <c r="ECO20"/>
      <c r="ECP20"/>
      <c r="ECQ20"/>
      <c r="ECR20"/>
      <c r="ECS20"/>
      <c r="ECT20"/>
      <c r="ECU20"/>
      <c r="ECV20"/>
      <c r="ECW20" s="1"/>
      <c r="ECX20" s="1"/>
      <c r="ECY20" s="1"/>
      <c r="ECZ20" s="120"/>
      <c r="EDA20" s="120"/>
      <c r="EDB20" s="120"/>
      <c r="EDC20"/>
      <c r="EDD20"/>
      <c r="EDE20"/>
      <c r="EDF20"/>
      <c r="EDG20"/>
      <c r="EDH20"/>
      <c r="EDI20"/>
      <c r="EDJ20"/>
      <c r="EDK20"/>
      <c r="EDL20"/>
      <c r="EDM20"/>
      <c r="EDN20" s="1"/>
      <c r="EDO20" s="1"/>
      <c r="EDP20" s="1"/>
      <c r="EDQ20" s="120"/>
      <c r="EDR20" s="120"/>
      <c r="EDS20" s="120"/>
      <c r="EDT20"/>
      <c r="EDU20"/>
      <c r="EDV20"/>
      <c r="EDW20"/>
      <c r="EDX20"/>
      <c r="EDY20"/>
      <c r="EDZ20"/>
      <c r="EEA20"/>
      <c r="EEB20"/>
      <c r="EEC20"/>
      <c r="EED20"/>
      <c r="EEE20" s="1"/>
      <c r="EEF20" s="1"/>
      <c r="EEG20" s="1"/>
      <c r="EEH20" s="120"/>
      <c r="EEI20" s="120"/>
      <c r="EEJ20" s="120"/>
      <c r="EEK20"/>
      <c r="EEL20"/>
      <c r="EEM20"/>
      <c r="EEN20"/>
      <c r="EEO20"/>
      <c r="EEP20"/>
      <c r="EEQ20"/>
      <c r="EER20"/>
      <c r="EES20"/>
      <c r="EET20"/>
      <c r="EEU20"/>
      <c r="EEV20" s="1"/>
      <c r="EEW20" s="1"/>
      <c r="EEX20" s="1"/>
      <c r="EEY20" s="120"/>
      <c r="EEZ20" s="120"/>
      <c r="EFA20" s="120"/>
      <c r="EFB20"/>
      <c r="EFC20"/>
      <c r="EFD20"/>
      <c r="EFE20"/>
      <c r="EFF20"/>
      <c r="EFG20"/>
      <c r="EFH20"/>
      <c r="EFI20"/>
      <c r="EFJ20"/>
      <c r="EFK20"/>
      <c r="EFL20"/>
      <c r="EFM20" s="1"/>
      <c r="EFN20" s="1"/>
      <c r="EFO20" s="1"/>
      <c r="EFP20" s="120"/>
      <c r="EFQ20" s="120"/>
      <c r="EFR20" s="120"/>
      <c r="EFS20"/>
      <c r="EFT20"/>
      <c r="EFU20"/>
      <c r="EFV20"/>
      <c r="EFW20"/>
      <c r="EFX20"/>
      <c r="EFY20"/>
      <c r="EFZ20"/>
      <c r="EGA20"/>
      <c r="EGB20"/>
      <c r="EGC20"/>
      <c r="EGD20" s="1"/>
      <c r="EGE20" s="1"/>
      <c r="EGF20" s="1"/>
      <c r="EGG20" s="120"/>
      <c r="EGH20" s="120"/>
      <c r="EGI20" s="120"/>
      <c r="EGJ20"/>
      <c r="EGK20"/>
      <c r="EGL20"/>
      <c r="EGM20"/>
      <c r="EGN20"/>
      <c r="EGO20"/>
      <c r="EGP20"/>
      <c r="EGQ20"/>
      <c r="EGR20"/>
      <c r="EGS20"/>
      <c r="EGT20"/>
      <c r="EGU20" s="1"/>
      <c r="EGV20" s="1"/>
      <c r="EGW20" s="1"/>
      <c r="EGX20" s="120"/>
      <c r="EGY20" s="120"/>
      <c r="EGZ20" s="120"/>
      <c r="EHA20"/>
      <c r="EHB20"/>
      <c r="EHC20"/>
      <c r="EHD20"/>
      <c r="EHE20"/>
      <c r="EHF20"/>
      <c r="EHG20"/>
      <c r="EHH20"/>
      <c r="EHI20"/>
      <c r="EHJ20"/>
      <c r="EHK20"/>
      <c r="EHL20" s="1"/>
      <c r="EHM20" s="1"/>
      <c r="EHN20" s="1"/>
      <c r="EHO20" s="120"/>
      <c r="EHP20" s="120"/>
      <c r="EHQ20" s="120"/>
      <c r="EHR20"/>
      <c r="EHS20"/>
      <c r="EHT20"/>
      <c r="EHU20"/>
      <c r="EHV20"/>
      <c r="EHW20"/>
      <c r="EHX20"/>
      <c r="EHY20"/>
      <c r="EHZ20"/>
      <c r="EIA20"/>
      <c r="EIB20"/>
      <c r="EIC20" s="1"/>
      <c r="EID20" s="1"/>
      <c r="EIE20" s="1"/>
      <c r="EIF20" s="120"/>
      <c r="EIG20" s="120"/>
      <c r="EIH20" s="120"/>
      <c r="EII20"/>
      <c r="EIJ20"/>
      <c r="EIK20"/>
      <c r="EIL20"/>
      <c r="EIM20"/>
      <c r="EIN20"/>
      <c r="EIO20"/>
      <c r="EIP20"/>
      <c r="EIQ20"/>
      <c r="EIR20"/>
      <c r="EIS20"/>
      <c r="EIT20" s="1"/>
      <c r="EIU20" s="1"/>
      <c r="EIV20" s="1"/>
      <c r="EIW20" s="120"/>
      <c r="EIX20" s="120"/>
      <c r="EIY20" s="120"/>
      <c r="EIZ20"/>
      <c r="EJA20"/>
      <c r="EJB20"/>
      <c r="EJC20"/>
      <c r="EJD20"/>
      <c r="EJE20"/>
      <c r="EJF20"/>
      <c r="EJG20"/>
      <c r="EJH20"/>
      <c r="EJI20"/>
      <c r="EJJ20"/>
      <c r="EJK20" s="1"/>
      <c r="EJL20" s="1"/>
      <c r="EJM20" s="1"/>
      <c r="EJN20" s="120"/>
      <c r="EJO20" s="120"/>
      <c r="EJP20" s="120"/>
      <c r="EJQ20"/>
      <c r="EJR20"/>
      <c r="EJS20"/>
      <c r="EJT20"/>
      <c r="EJU20"/>
      <c r="EJV20"/>
      <c r="EJW20"/>
      <c r="EJX20"/>
      <c r="EJY20"/>
      <c r="EJZ20"/>
      <c r="EKA20"/>
      <c r="EKB20" s="1"/>
      <c r="EKC20" s="1"/>
      <c r="EKD20" s="1"/>
      <c r="EKE20" s="120"/>
      <c r="EKF20" s="120"/>
      <c r="EKG20" s="120"/>
      <c r="EKH20"/>
      <c r="EKI20"/>
      <c r="EKJ20"/>
      <c r="EKK20"/>
      <c r="EKL20"/>
      <c r="EKM20"/>
      <c r="EKN20"/>
      <c r="EKO20"/>
      <c r="EKP20"/>
      <c r="EKQ20"/>
      <c r="EKR20"/>
      <c r="EKS20" s="1"/>
      <c r="EKT20" s="1"/>
      <c r="EKU20" s="1"/>
      <c r="EKV20" s="120"/>
      <c r="EKW20" s="120"/>
      <c r="EKX20" s="120"/>
      <c r="EKY20"/>
      <c r="EKZ20"/>
      <c r="ELA20"/>
      <c r="ELB20"/>
      <c r="ELC20"/>
      <c r="ELD20"/>
      <c r="ELE20"/>
      <c r="ELF20"/>
      <c r="ELG20"/>
      <c r="ELH20"/>
      <c r="ELI20"/>
      <c r="ELJ20" s="1"/>
      <c r="ELK20" s="1"/>
      <c r="ELL20" s="1"/>
      <c r="ELM20" s="120"/>
      <c r="ELN20" s="120"/>
      <c r="ELO20" s="120"/>
      <c r="ELP20"/>
      <c r="ELQ20"/>
      <c r="ELR20"/>
      <c r="ELS20"/>
      <c r="ELT20"/>
      <c r="ELU20"/>
      <c r="ELV20"/>
      <c r="ELW20"/>
      <c r="ELX20"/>
      <c r="ELY20"/>
      <c r="ELZ20"/>
      <c r="EMA20" s="1"/>
      <c r="EMB20" s="1"/>
      <c r="EMC20" s="1"/>
      <c r="EMD20" s="120"/>
      <c r="EME20" s="120"/>
      <c r="EMF20" s="120"/>
      <c r="EMG20"/>
      <c r="EMH20"/>
      <c r="EMI20"/>
      <c r="EMJ20"/>
      <c r="EMK20"/>
      <c r="EML20"/>
      <c r="EMM20"/>
      <c r="EMN20"/>
      <c r="EMO20"/>
      <c r="EMP20"/>
      <c r="EMQ20"/>
      <c r="EMR20" s="1"/>
      <c r="EMS20" s="1"/>
      <c r="EMT20" s="1"/>
      <c r="EMU20" s="120"/>
      <c r="EMV20" s="120"/>
      <c r="EMW20" s="120"/>
      <c r="EMX20"/>
      <c r="EMY20"/>
      <c r="EMZ20"/>
      <c r="ENA20"/>
      <c r="ENB20"/>
      <c r="ENC20"/>
      <c r="END20"/>
      <c r="ENE20"/>
      <c r="ENF20"/>
      <c r="ENG20"/>
      <c r="ENH20"/>
      <c r="ENI20" s="1"/>
      <c r="ENJ20" s="1"/>
      <c r="ENK20" s="1"/>
      <c r="ENL20" s="120"/>
      <c r="ENM20" s="120"/>
      <c r="ENN20" s="120"/>
      <c r="ENO20"/>
      <c r="ENP20"/>
      <c r="ENQ20"/>
      <c r="ENR20"/>
      <c r="ENS20"/>
      <c r="ENT20"/>
      <c r="ENU20"/>
      <c r="ENV20"/>
      <c r="ENW20"/>
      <c r="ENX20"/>
      <c r="ENY20"/>
      <c r="ENZ20" s="1"/>
      <c r="EOA20" s="1"/>
      <c r="EOB20" s="1"/>
      <c r="EOC20" s="120"/>
      <c r="EOD20" s="120"/>
      <c r="EOE20" s="120"/>
      <c r="EOF20"/>
      <c r="EOG20"/>
      <c r="EOH20"/>
      <c r="EOI20"/>
      <c r="EOJ20"/>
      <c r="EOK20"/>
      <c r="EOL20"/>
      <c r="EOM20"/>
      <c r="EON20"/>
      <c r="EOO20"/>
      <c r="EOP20"/>
      <c r="EOQ20" s="1"/>
      <c r="EOR20" s="1"/>
      <c r="EOS20" s="1"/>
      <c r="EOT20" s="120"/>
      <c r="EOU20" s="120"/>
      <c r="EOV20" s="120"/>
      <c r="EOW20"/>
      <c r="EOX20"/>
      <c r="EOY20"/>
      <c r="EOZ20"/>
      <c r="EPA20"/>
      <c r="EPB20"/>
      <c r="EPC20"/>
      <c r="EPD20"/>
      <c r="EPE20"/>
      <c r="EPF20"/>
      <c r="EPG20"/>
      <c r="EPH20" s="1"/>
      <c r="EPI20" s="1"/>
      <c r="EPJ20" s="1"/>
      <c r="EPK20" s="120"/>
      <c r="EPL20" s="120"/>
      <c r="EPM20" s="120"/>
      <c r="EPN20"/>
      <c r="EPO20"/>
      <c r="EPP20"/>
      <c r="EPQ20"/>
      <c r="EPR20"/>
      <c r="EPS20"/>
      <c r="EPT20"/>
      <c r="EPU20"/>
      <c r="EPV20"/>
      <c r="EPW20"/>
      <c r="EPX20"/>
      <c r="EPY20" s="1"/>
      <c r="EPZ20" s="1"/>
      <c r="EQA20" s="1"/>
      <c r="EQB20" s="120"/>
      <c r="EQC20" s="120"/>
      <c r="EQD20" s="120"/>
      <c r="EQE20"/>
      <c r="EQF20"/>
      <c r="EQG20"/>
      <c r="EQH20"/>
      <c r="EQI20"/>
      <c r="EQJ20"/>
      <c r="EQK20"/>
      <c r="EQL20"/>
      <c r="EQM20"/>
      <c r="EQN20"/>
      <c r="EQO20"/>
      <c r="EQP20" s="1"/>
      <c r="EQQ20" s="1"/>
      <c r="EQR20" s="1"/>
      <c r="EQS20" s="120"/>
      <c r="EQT20" s="120"/>
      <c r="EQU20" s="120"/>
      <c r="EQV20"/>
      <c r="EQW20"/>
      <c r="EQX20"/>
      <c r="EQY20"/>
      <c r="EQZ20"/>
      <c r="ERA20"/>
      <c r="ERB20"/>
      <c r="ERC20"/>
      <c r="ERD20"/>
      <c r="ERE20"/>
      <c r="ERF20"/>
      <c r="ERG20" s="1"/>
      <c r="ERH20" s="1"/>
      <c r="ERI20" s="1"/>
      <c r="ERJ20" s="120"/>
      <c r="ERK20" s="120"/>
      <c r="ERL20" s="120"/>
      <c r="ERM20"/>
      <c r="ERN20"/>
      <c r="ERO20"/>
      <c r="ERP20"/>
      <c r="ERQ20"/>
      <c r="ERR20"/>
      <c r="ERS20"/>
      <c r="ERT20"/>
      <c r="ERU20"/>
      <c r="ERV20"/>
      <c r="ERW20"/>
      <c r="ERX20" s="1"/>
      <c r="ERY20" s="1"/>
      <c r="ERZ20" s="1"/>
      <c r="ESA20" s="120"/>
      <c r="ESB20" s="120"/>
      <c r="ESC20" s="120"/>
      <c r="ESD20"/>
      <c r="ESE20"/>
      <c r="ESF20"/>
      <c r="ESG20"/>
      <c r="ESH20"/>
      <c r="ESI20"/>
      <c r="ESJ20"/>
      <c r="ESK20"/>
      <c r="ESL20"/>
      <c r="ESM20"/>
      <c r="ESN20"/>
      <c r="ESO20" s="1"/>
      <c r="ESP20" s="1"/>
      <c r="ESQ20" s="1"/>
      <c r="ESR20" s="120"/>
      <c r="ESS20" s="120"/>
      <c r="EST20" s="120"/>
      <c r="ESU20"/>
      <c r="ESV20"/>
      <c r="ESW20"/>
      <c r="ESX20"/>
      <c r="ESY20"/>
      <c r="ESZ20"/>
      <c r="ETA20"/>
      <c r="ETB20"/>
      <c r="ETC20"/>
      <c r="ETD20"/>
      <c r="ETE20"/>
      <c r="ETF20" s="1"/>
      <c r="ETG20" s="1"/>
      <c r="ETH20" s="1"/>
      <c r="ETI20" s="120"/>
      <c r="ETJ20" s="120"/>
      <c r="ETK20" s="120"/>
      <c r="ETL20"/>
      <c r="ETM20"/>
      <c r="ETN20"/>
      <c r="ETO20"/>
      <c r="ETP20"/>
      <c r="ETQ20"/>
      <c r="ETR20"/>
      <c r="ETS20"/>
      <c r="ETT20"/>
      <c r="ETU20"/>
      <c r="ETV20"/>
      <c r="ETW20" s="1"/>
      <c r="ETX20" s="1"/>
      <c r="ETY20" s="1"/>
      <c r="ETZ20" s="120"/>
      <c r="EUA20" s="120"/>
      <c r="EUB20" s="120"/>
      <c r="EUC20"/>
      <c r="EUD20"/>
      <c r="EUE20"/>
      <c r="EUF20"/>
      <c r="EUG20"/>
      <c r="EUH20"/>
      <c r="EUI20"/>
      <c r="EUJ20"/>
      <c r="EUK20"/>
      <c r="EUL20"/>
      <c r="EUM20"/>
      <c r="EUN20" s="1"/>
      <c r="EUO20" s="1"/>
      <c r="EUP20" s="1"/>
      <c r="EUQ20" s="120"/>
      <c r="EUR20" s="120"/>
      <c r="EUS20" s="120"/>
      <c r="EUT20"/>
      <c r="EUU20"/>
      <c r="EUV20"/>
      <c r="EUW20"/>
      <c r="EUX20"/>
      <c r="EUY20"/>
      <c r="EUZ20"/>
      <c r="EVA20"/>
      <c r="EVB20"/>
      <c r="EVC20"/>
      <c r="EVD20"/>
      <c r="EVE20" s="1"/>
      <c r="EVF20" s="1"/>
      <c r="EVG20" s="1"/>
      <c r="EVH20" s="120"/>
      <c r="EVI20" s="120"/>
      <c r="EVJ20" s="120"/>
      <c r="EVK20"/>
      <c r="EVL20"/>
      <c r="EVM20"/>
      <c r="EVN20"/>
      <c r="EVO20"/>
      <c r="EVP20"/>
      <c r="EVQ20"/>
      <c r="EVR20"/>
      <c r="EVS20"/>
      <c r="EVT20"/>
      <c r="EVU20"/>
      <c r="EVV20" s="1"/>
      <c r="EVW20" s="1"/>
      <c r="EVX20" s="1"/>
      <c r="EVY20" s="120"/>
      <c r="EVZ20" s="120"/>
      <c r="EWA20" s="120"/>
      <c r="EWB20"/>
      <c r="EWC20"/>
      <c r="EWD20"/>
      <c r="EWE20"/>
      <c r="EWF20"/>
      <c r="EWG20"/>
      <c r="EWH20"/>
      <c r="EWI20"/>
      <c r="EWJ20"/>
      <c r="EWK20"/>
      <c r="EWL20"/>
      <c r="EWM20" s="1"/>
      <c r="EWN20" s="1"/>
      <c r="EWO20" s="1"/>
      <c r="EWP20" s="120"/>
      <c r="EWQ20" s="120"/>
      <c r="EWR20" s="120"/>
      <c r="EWS20"/>
      <c r="EWT20"/>
      <c r="EWU20"/>
      <c r="EWV20"/>
      <c r="EWW20"/>
      <c r="EWX20"/>
      <c r="EWY20"/>
      <c r="EWZ20"/>
      <c r="EXA20"/>
      <c r="EXB20"/>
      <c r="EXC20"/>
      <c r="EXD20" s="1"/>
      <c r="EXE20" s="1"/>
      <c r="EXF20" s="1"/>
      <c r="EXG20" s="120"/>
      <c r="EXH20" s="120"/>
      <c r="EXI20" s="120"/>
      <c r="EXJ20"/>
      <c r="EXK20"/>
      <c r="EXL20"/>
      <c r="EXM20"/>
      <c r="EXN20"/>
      <c r="EXO20"/>
      <c r="EXP20"/>
      <c r="EXQ20"/>
      <c r="EXR20"/>
      <c r="EXS20"/>
      <c r="EXT20"/>
      <c r="EXU20" s="1"/>
      <c r="EXV20" s="1"/>
      <c r="EXW20" s="1"/>
      <c r="EXX20" s="120"/>
      <c r="EXY20" s="120"/>
      <c r="EXZ20" s="120"/>
      <c r="EYA20"/>
      <c r="EYB20"/>
      <c r="EYC20"/>
      <c r="EYD20"/>
      <c r="EYE20"/>
      <c r="EYF20"/>
      <c r="EYG20"/>
      <c r="EYH20"/>
      <c r="EYI20"/>
      <c r="EYJ20"/>
      <c r="EYK20"/>
      <c r="EYL20" s="1"/>
      <c r="EYM20" s="1"/>
      <c r="EYN20" s="1"/>
      <c r="EYO20" s="120"/>
      <c r="EYP20" s="120"/>
      <c r="EYQ20" s="120"/>
      <c r="EYR20"/>
      <c r="EYS20"/>
      <c r="EYT20"/>
      <c r="EYU20"/>
      <c r="EYV20"/>
      <c r="EYW20"/>
      <c r="EYX20"/>
      <c r="EYY20"/>
      <c r="EYZ20"/>
      <c r="EZA20"/>
      <c r="EZB20"/>
      <c r="EZC20" s="1"/>
      <c r="EZD20" s="1"/>
      <c r="EZE20" s="1"/>
      <c r="EZF20" s="120"/>
      <c r="EZG20" s="120"/>
      <c r="EZH20" s="120"/>
      <c r="EZI20"/>
      <c r="EZJ20"/>
      <c r="EZK20"/>
      <c r="EZL20"/>
      <c r="EZM20"/>
      <c r="EZN20"/>
      <c r="EZO20"/>
      <c r="EZP20"/>
      <c r="EZQ20"/>
      <c r="EZR20"/>
      <c r="EZS20"/>
      <c r="EZT20" s="1"/>
      <c r="EZU20" s="1"/>
      <c r="EZV20" s="1"/>
      <c r="EZW20" s="120"/>
      <c r="EZX20" s="120"/>
      <c r="EZY20" s="120"/>
      <c r="EZZ20"/>
      <c r="FAA20"/>
      <c r="FAB20"/>
      <c r="FAC20"/>
      <c r="FAD20"/>
      <c r="FAE20"/>
      <c r="FAF20"/>
      <c r="FAG20"/>
      <c r="FAH20"/>
      <c r="FAI20"/>
      <c r="FAJ20"/>
      <c r="FAK20" s="1"/>
      <c r="FAL20" s="1"/>
      <c r="FAM20" s="1"/>
      <c r="FAN20" s="120"/>
      <c r="FAO20" s="120"/>
      <c r="FAP20" s="120"/>
      <c r="FAQ20"/>
      <c r="FAR20"/>
      <c r="FAS20"/>
      <c r="FAT20"/>
      <c r="FAU20"/>
      <c r="FAV20"/>
      <c r="FAW20"/>
      <c r="FAX20"/>
      <c r="FAY20"/>
      <c r="FAZ20"/>
      <c r="FBA20"/>
      <c r="FBB20" s="1"/>
      <c r="FBC20" s="1"/>
      <c r="FBD20" s="1"/>
      <c r="FBE20" s="120"/>
      <c r="FBF20" s="120"/>
      <c r="FBG20" s="120"/>
      <c r="FBH20"/>
      <c r="FBI20"/>
      <c r="FBJ20"/>
      <c r="FBK20"/>
      <c r="FBL20"/>
      <c r="FBM20"/>
      <c r="FBN20"/>
      <c r="FBO20"/>
      <c r="FBP20"/>
      <c r="FBQ20"/>
      <c r="FBR20"/>
      <c r="FBS20" s="1"/>
      <c r="FBT20" s="1"/>
      <c r="FBU20" s="1"/>
      <c r="FBV20" s="120"/>
      <c r="FBW20" s="120"/>
      <c r="FBX20" s="120"/>
      <c r="FBY20"/>
      <c r="FBZ20"/>
      <c r="FCA20"/>
      <c r="FCB20"/>
      <c r="FCC20"/>
      <c r="FCD20"/>
      <c r="FCE20"/>
      <c r="FCF20"/>
      <c r="FCG20"/>
      <c r="FCH20"/>
      <c r="FCI20"/>
      <c r="FCJ20" s="1"/>
      <c r="FCK20" s="1"/>
      <c r="FCL20" s="1"/>
      <c r="FCM20" s="120"/>
      <c r="FCN20" s="120"/>
      <c r="FCO20" s="120"/>
      <c r="FCP20"/>
      <c r="FCQ20"/>
      <c r="FCR20"/>
      <c r="FCS20"/>
      <c r="FCT20"/>
      <c r="FCU20"/>
      <c r="FCV20"/>
      <c r="FCW20"/>
      <c r="FCX20"/>
      <c r="FCY20"/>
      <c r="FCZ20"/>
      <c r="FDA20" s="1"/>
      <c r="FDB20" s="1"/>
      <c r="FDC20" s="1"/>
      <c r="FDD20" s="120"/>
      <c r="FDE20" s="120"/>
      <c r="FDF20" s="120"/>
      <c r="FDG20"/>
      <c r="FDH20"/>
      <c r="FDI20"/>
      <c r="FDJ20"/>
      <c r="FDK20"/>
      <c r="FDL20"/>
      <c r="FDM20"/>
      <c r="FDN20"/>
      <c r="FDO20"/>
      <c r="FDP20"/>
      <c r="FDQ20"/>
      <c r="FDR20" s="1"/>
      <c r="FDS20" s="1"/>
      <c r="FDT20" s="1"/>
      <c r="FDU20" s="120"/>
      <c r="FDV20" s="120"/>
      <c r="FDW20" s="120"/>
      <c r="FDX20"/>
      <c r="FDY20"/>
      <c r="FDZ20"/>
      <c r="FEA20"/>
      <c r="FEB20"/>
      <c r="FEC20"/>
      <c r="FED20"/>
      <c r="FEE20"/>
      <c r="FEF20"/>
      <c r="FEG20"/>
      <c r="FEH20"/>
      <c r="FEI20" s="1"/>
      <c r="FEJ20" s="1"/>
      <c r="FEK20" s="1"/>
      <c r="FEL20" s="120"/>
      <c r="FEM20" s="120"/>
      <c r="FEN20" s="120"/>
      <c r="FEO20"/>
      <c r="FEP20"/>
      <c r="FEQ20"/>
      <c r="FER20"/>
      <c r="FES20"/>
      <c r="FET20"/>
      <c r="FEU20"/>
      <c r="FEV20"/>
      <c r="FEW20"/>
      <c r="FEX20"/>
      <c r="FEY20"/>
      <c r="FEZ20" s="1"/>
      <c r="FFA20" s="1"/>
      <c r="FFB20" s="1"/>
      <c r="FFC20" s="120"/>
      <c r="FFD20" s="120"/>
      <c r="FFE20" s="120"/>
      <c r="FFF20"/>
      <c r="FFG20"/>
      <c r="FFH20"/>
      <c r="FFI20"/>
      <c r="FFJ20"/>
      <c r="FFK20"/>
      <c r="FFL20"/>
      <c r="FFM20"/>
      <c r="FFN20"/>
      <c r="FFO20"/>
      <c r="FFP20"/>
      <c r="FFQ20" s="1"/>
      <c r="FFR20" s="1"/>
      <c r="FFS20" s="1"/>
      <c r="FFT20" s="120"/>
      <c r="FFU20" s="120"/>
      <c r="FFV20" s="120"/>
      <c r="FFW20"/>
      <c r="FFX20"/>
      <c r="FFY20"/>
      <c r="FFZ20"/>
      <c r="FGA20"/>
      <c r="FGB20"/>
      <c r="FGC20"/>
      <c r="FGD20"/>
      <c r="FGE20"/>
      <c r="FGF20"/>
      <c r="FGG20"/>
      <c r="FGH20" s="1"/>
      <c r="FGI20" s="1"/>
      <c r="FGJ20" s="1"/>
      <c r="FGK20" s="120"/>
      <c r="FGL20" s="120"/>
      <c r="FGM20" s="120"/>
      <c r="FGN20"/>
      <c r="FGO20"/>
      <c r="FGP20"/>
      <c r="FGQ20"/>
      <c r="FGR20"/>
      <c r="FGS20"/>
      <c r="FGT20"/>
      <c r="FGU20"/>
      <c r="FGV20"/>
      <c r="FGW20"/>
      <c r="FGX20"/>
      <c r="FGY20" s="1"/>
      <c r="FGZ20" s="1"/>
      <c r="FHA20" s="1"/>
      <c r="FHB20" s="120"/>
      <c r="FHC20" s="120"/>
      <c r="FHD20" s="120"/>
      <c r="FHE20"/>
      <c r="FHF20"/>
      <c r="FHG20"/>
      <c r="FHH20"/>
      <c r="FHI20"/>
      <c r="FHJ20"/>
      <c r="FHK20"/>
      <c r="FHL20"/>
      <c r="FHM20"/>
      <c r="FHN20"/>
      <c r="FHO20"/>
      <c r="FHP20" s="1"/>
      <c r="FHQ20" s="1"/>
      <c r="FHR20" s="1"/>
      <c r="FHS20" s="120"/>
      <c r="FHT20" s="120"/>
      <c r="FHU20" s="120"/>
      <c r="FHV20"/>
      <c r="FHW20"/>
      <c r="FHX20"/>
      <c r="FHY20"/>
      <c r="FHZ20"/>
      <c r="FIA20"/>
      <c r="FIB20"/>
      <c r="FIC20"/>
      <c r="FID20"/>
      <c r="FIE20"/>
      <c r="FIF20"/>
      <c r="FIG20" s="1"/>
      <c r="FIH20" s="1"/>
      <c r="FII20" s="1"/>
      <c r="FIJ20" s="120"/>
      <c r="FIK20" s="120"/>
      <c r="FIL20" s="120"/>
      <c r="FIM20"/>
      <c r="FIN20"/>
      <c r="FIO20"/>
      <c r="FIP20"/>
      <c r="FIQ20"/>
      <c r="FIR20"/>
      <c r="FIS20"/>
      <c r="FIT20"/>
      <c r="FIU20"/>
      <c r="FIV20"/>
      <c r="FIW20"/>
      <c r="FIX20" s="1"/>
      <c r="FIY20" s="1"/>
      <c r="FIZ20" s="1"/>
      <c r="FJA20" s="120"/>
      <c r="FJB20" s="120"/>
      <c r="FJC20" s="120"/>
      <c r="FJD20"/>
      <c r="FJE20"/>
      <c r="FJF20"/>
      <c r="FJG20"/>
      <c r="FJH20"/>
      <c r="FJI20"/>
      <c r="FJJ20"/>
      <c r="FJK20"/>
      <c r="FJL20"/>
      <c r="FJM20"/>
      <c r="FJN20"/>
      <c r="FJO20" s="1"/>
      <c r="FJP20" s="1"/>
      <c r="FJQ20" s="1"/>
      <c r="FJR20" s="120"/>
      <c r="FJS20" s="120"/>
      <c r="FJT20" s="120"/>
      <c r="FJU20"/>
      <c r="FJV20"/>
      <c r="FJW20"/>
      <c r="FJX20"/>
      <c r="FJY20"/>
      <c r="FJZ20"/>
      <c r="FKA20"/>
      <c r="FKB20"/>
      <c r="FKC20"/>
      <c r="FKD20"/>
      <c r="FKE20"/>
      <c r="FKF20" s="1"/>
      <c r="FKG20" s="1"/>
      <c r="FKH20" s="1"/>
      <c r="FKI20" s="120"/>
      <c r="FKJ20" s="120"/>
      <c r="FKK20" s="120"/>
      <c r="FKL20"/>
      <c r="FKM20"/>
      <c r="FKN20"/>
      <c r="FKO20"/>
      <c r="FKP20"/>
      <c r="FKQ20"/>
      <c r="FKR20"/>
      <c r="FKS20"/>
      <c r="FKT20"/>
      <c r="FKU20"/>
      <c r="FKV20"/>
      <c r="FKW20" s="1"/>
      <c r="FKX20" s="1"/>
      <c r="FKY20" s="1"/>
      <c r="FKZ20" s="120"/>
      <c r="FLA20" s="120"/>
      <c r="FLB20" s="120"/>
      <c r="FLC20"/>
      <c r="FLD20"/>
      <c r="FLE20"/>
      <c r="FLF20"/>
      <c r="FLG20"/>
      <c r="FLH20"/>
      <c r="FLI20"/>
      <c r="FLJ20"/>
      <c r="FLK20"/>
      <c r="FLL20"/>
      <c r="FLM20"/>
      <c r="FLN20" s="1"/>
      <c r="FLO20" s="1"/>
      <c r="FLP20" s="1"/>
      <c r="FLQ20" s="120"/>
      <c r="FLR20" s="120"/>
      <c r="FLS20" s="120"/>
      <c r="FLT20"/>
      <c r="FLU20"/>
      <c r="FLV20"/>
      <c r="FLW20"/>
      <c r="FLX20"/>
      <c r="FLY20"/>
      <c r="FLZ20"/>
      <c r="FMA20"/>
      <c r="FMB20"/>
      <c r="FMC20"/>
      <c r="FMD20"/>
      <c r="FME20" s="1"/>
      <c r="FMF20" s="1"/>
      <c r="FMG20" s="1"/>
      <c r="FMH20" s="120"/>
      <c r="FMI20" s="120"/>
      <c r="FMJ20" s="120"/>
      <c r="FMK20"/>
      <c r="FML20"/>
      <c r="FMM20"/>
      <c r="FMN20"/>
      <c r="FMO20"/>
      <c r="FMP20"/>
      <c r="FMQ20"/>
      <c r="FMR20"/>
      <c r="FMS20"/>
      <c r="FMT20"/>
      <c r="FMU20"/>
      <c r="FMV20" s="1"/>
      <c r="FMW20" s="1"/>
      <c r="FMX20" s="1"/>
      <c r="FMY20" s="120"/>
      <c r="FMZ20" s="120"/>
      <c r="FNA20" s="120"/>
      <c r="FNB20"/>
      <c r="FNC20"/>
      <c r="FND20"/>
      <c r="FNE20"/>
      <c r="FNF20"/>
      <c r="FNG20"/>
      <c r="FNH20"/>
      <c r="FNI20"/>
      <c r="FNJ20"/>
      <c r="FNK20"/>
      <c r="FNL20"/>
      <c r="FNM20" s="1"/>
      <c r="FNN20" s="1"/>
      <c r="FNO20" s="1"/>
      <c r="FNP20" s="120"/>
      <c r="FNQ20" s="120"/>
      <c r="FNR20" s="120"/>
      <c r="FNS20"/>
      <c r="FNT20"/>
      <c r="FNU20"/>
      <c r="FNV20"/>
      <c r="FNW20"/>
      <c r="FNX20"/>
      <c r="FNY20"/>
      <c r="FNZ20"/>
      <c r="FOA20"/>
      <c r="FOB20"/>
      <c r="FOC20"/>
      <c r="FOD20" s="1"/>
      <c r="FOE20" s="1"/>
      <c r="FOF20" s="1"/>
      <c r="FOG20" s="120"/>
      <c r="FOH20" s="120"/>
      <c r="FOI20" s="120"/>
      <c r="FOJ20"/>
      <c r="FOK20"/>
      <c r="FOL20"/>
      <c r="FOM20"/>
      <c r="FON20"/>
      <c r="FOO20"/>
      <c r="FOP20"/>
      <c r="FOQ20"/>
      <c r="FOR20"/>
      <c r="FOS20"/>
      <c r="FOT20"/>
      <c r="FOU20" s="1"/>
      <c r="FOV20" s="1"/>
      <c r="FOW20" s="1"/>
      <c r="FOX20" s="120"/>
      <c r="FOY20" s="120"/>
      <c r="FOZ20" s="120"/>
      <c r="FPA20"/>
      <c r="FPB20"/>
      <c r="FPC20"/>
      <c r="FPD20"/>
      <c r="FPE20"/>
      <c r="FPF20"/>
      <c r="FPG20"/>
      <c r="FPH20"/>
      <c r="FPI20"/>
      <c r="FPJ20"/>
      <c r="FPK20"/>
      <c r="FPL20" s="1"/>
      <c r="FPM20" s="1"/>
      <c r="FPN20" s="1"/>
      <c r="FPO20" s="120"/>
      <c r="FPP20" s="120"/>
      <c r="FPQ20" s="120"/>
      <c r="FPR20"/>
      <c r="FPS20"/>
      <c r="FPT20"/>
      <c r="FPU20"/>
      <c r="FPV20"/>
      <c r="FPW20"/>
      <c r="FPX20"/>
      <c r="FPY20"/>
      <c r="FPZ20"/>
      <c r="FQA20"/>
      <c r="FQB20"/>
      <c r="FQC20" s="1"/>
      <c r="FQD20" s="1"/>
      <c r="FQE20" s="1"/>
      <c r="FQF20" s="120"/>
      <c r="FQG20" s="120"/>
      <c r="FQH20" s="120"/>
      <c r="FQI20"/>
      <c r="FQJ20"/>
      <c r="FQK20"/>
      <c r="FQL20"/>
      <c r="FQM20"/>
      <c r="FQN20"/>
      <c r="FQO20"/>
      <c r="FQP20"/>
      <c r="FQQ20"/>
      <c r="FQR20"/>
      <c r="FQS20"/>
      <c r="FQT20" s="1"/>
      <c r="FQU20" s="1"/>
      <c r="FQV20" s="1"/>
      <c r="FQW20" s="120"/>
      <c r="FQX20" s="120"/>
      <c r="FQY20" s="120"/>
      <c r="FQZ20"/>
      <c r="FRA20"/>
      <c r="FRB20"/>
      <c r="FRC20"/>
      <c r="FRD20"/>
      <c r="FRE20"/>
      <c r="FRF20"/>
      <c r="FRG20"/>
      <c r="FRH20"/>
      <c r="FRI20"/>
      <c r="FRJ20"/>
      <c r="FRK20" s="1"/>
      <c r="FRL20" s="1"/>
      <c r="FRM20" s="1"/>
      <c r="FRN20" s="120"/>
      <c r="FRO20" s="120"/>
      <c r="FRP20" s="120"/>
      <c r="FRQ20"/>
      <c r="FRR20"/>
      <c r="FRS20"/>
      <c r="FRT20"/>
      <c r="FRU20"/>
      <c r="FRV20"/>
      <c r="FRW20"/>
      <c r="FRX20"/>
      <c r="FRY20"/>
      <c r="FRZ20"/>
      <c r="FSA20"/>
      <c r="FSB20" s="1"/>
      <c r="FSC20" s="1"/>
      <c r="FSD20" s="1"/>
      <c r="FSE20" s="120"/>
      <c r="FSF20" s="120"/>
      <c r="FSG20" s="120"/>
      <c r="FSH20"/>
      <c r="FSI20"/>
      <c r="FSJ20"/>
      <c r="FSK20"/>
      <c r="FSL20"/>
      <c r="FSM20"/>
      <c r="FSN20"/>
      <c r="FSO20"/>
      <c r="FSP20"/>
      <c r="FSQ20"/>
      <c r="FSR20"/>
      <c r="FSS20" s="1"/>
      <c r="FST20" s="1"/>
      <c r="FSU20" s="1"/>
      <c r="FSV20" s="120"/>
      <c r="FSW20" s="120"/>
      <c r="FSX20" s="120"/>
      <c r="FSY20"/>
      <c r="FSZ20"/>
      <c r="FTA20"/>
      <c r="FTB20"/>
      <c r="FTC20"/>
      <c r="FTD20"/>
      <c r="FTE20"/>
      <c r="FTF20"/>
      <c r="FTG20"/>
      <c r="FTH20"/>
      <c r="FTI20"/>
      <c r="FTJ20" s="1"/>
      <c r="FTK20" s="1"/>
      <c r="FTL20" s="1"/>
      <c r="FTM20" s="120"/>
      <c r="FTN20" s="120"/>
      <c r="FTO20" s="120"/>
      <c r="FTP20"/>
      <c r="FTQ20"/>
      <c r="FTR20"/>
      <c r="FTS20"/>
      <c r="FTT20"/>
      <c r="FTU20"/>
      <c r="FTV20"/>
      <c r="FTW20"/>
      <c r="FTX20"/>
      <c r="FTY20"/>
      <c r="FTZ20"/>
      <c r="FUA20" s="1"/>
      <c r="FUB20" s="1"/>
      <c r="FUC20" s="1"/>
      <c r="FUD20" s="120"/>
      <c r="FUE20" s="120"/>
      <c r="FUF20" s="120"/>
      <c r="FUG20"/>
      <c r="FUH20"/>
      <c r="FUI20"/>
      <c r="FUJ20"/>
      <c r="FUK20"/>
      <c r="FUL20"/>
      <c r="FUM20"/>
      <c r="FUN20"/>
      <c r="FUO20"/>
      <c r="FUP20"/>
      <c r="FUQ20"/>
      <c r="FUR20" s="1"/>
      <c r="FUS20" s="1"/>
      <c r="FUT20" s="1"/>
      <c r="FUU20" s="120"/>
      <c r="FUV20" s="120"/>
      <c r="FUW20" s="120"/>
      <c r="FUX20"/>
      <c r="FUY20"/>
      <c r="FUZ20"/>
      <c r="FVA20"/>
      <c r="FVB20"/>
      <c r="FVC20"/>
      <c r="FVD20"/>
      <c r="FVE20"/>
      <c r="FVF20"/>
      <c r="FVG20"/>
      <c r="FVH20"/>
      <c r="FVI20" s="1"/>
      <c r="FVJ20" s="1"/>
      <c r="FVK20" s="1"/>
      <c r="FVL20" s="120"/>
      <c r="FVM20" s="120"/>
      <c r="FVN20" s="120"/>
      <c r="FVO20"/>
      <c r="FVP20"/>
      <c r="FVQ20"/>
      <c r="FVR20"/>
      <c r="FVS20"/>
      <c r="FVT20"/>
      <c r="FVU20"/>
      <c r="FVV20"/>
      <c r="FVW20"/>
      <c r="FVX20"/>
      <c r="FVY20"/>
      <c r="FVZ20" s="1"/>
      <c r="FWA20" s="1"/>
      <c r="FWB20" s="1"/>
      <c r="FWC20" s="120"/>
      <c r="FWD20" s="120"/>
      <c r="FWE20" s="120"/>
      <c r="FWF20"/>
      <c r="FWG20"/>
      <c r="FWH20"/>
      <c r="FWI20"/>
      <c r="FWJ20"/>
      <c r="FWK20"/>
      <c r="FWL20"/>
      <c r="FWM20"/>
      <c r="FWN20"/>
      <c r="FWO20"/>
      <c r="FWP20"/>
      <c r="FWQ20" s="1"/>
      <c r="FWR20" s="1"/>
      <c r="FWS20" s="1"/>
      <c r="FWT20" s="120"/>
      <c r="FWU20" s="120"/>
      <c r="FWV20" s="120"/>
      <c r="FWW20"/>
      <c r="FWX20"/>
      <c r="FWY20"/>
      <c r="FWZ20"/>
      <c r="FXA20"/>
      <c r="FXB20"/>
      <c r="FXC20"/>
      <c r="FXD20"/>
      <c r="FXE20"/>
      <c r="FXF20"/>
      <c r="FXG20"/>
      <c r="FXH20" s="1"/>
      <c r="FXI20" s="1"/>
      <c r="FXJ20" s="1"/>
      <c r="FXK20" s="120"/>
      <c r="FXL20" s="120"/>
      <c r="FXM20" s="120"/>
      <c r="FXN20"/>
      <c r="FXO20"/>
      <c r="FXP20"/>
      <c r="FXQ20"/>
      <c r="FXR20"/>
      <c r="FXS20"/>
      <c r="FXT20"/>
      <c r="FXU20"/>
      <c r="FXV20"/>
      <c r="FXW20"/>
      <c r="FXX20"/>
      <c r="FXY20" s="1"/>
      <c r="FXZ20" s="1"/>
      <c r="FYA20" s="1"/>
      <c r="FYB20" s="120"/>
      <c r="FYC20" s="120"/>
      <c r="FYD20" s="120"/>
      <c r="FYE20"/>
      <c r="FYF20"/>
      <c r="FYG20"/>
      <c r="FYH20"/>
      <c r="FYI20"/>
      <c r="FYJ20"/>
      <c r="FYK20"/>
      <c r="FYL20"/>
      <c r="FYM20"/>
      <c r="FYN20"/>
      <c r="FYO20"/>
      <c r="FYP20" s="1"/>
      <c r="FYQ20" s="1"/>
      <c r="FYR20" s="1"/>
      <c r="FYS20" s="120"/>
      <c r="FYT20" s="120"/>
      <c r="FYU20" s="120"/>
      <c r="FYV20"/>
      <c r="FYW20"/>
      <c r="FYX20"/>
      <c r="FYY20"/>
      <c r="FYZ20"/>
      <c r="FZA20"/>
      <c r="FZB20"/>
      <c r="FZC20"/>
      <c r="FZD20"/>
      <c r="FZE20"/>
      <c r="FZF20"/>
      <c r="FZG20" s="1"/>
      <c r="FZH20" s="1"/>
      <c r="FZI20" s="1"/>
      <c r="FZJ20" s="120"/>
      <c r="FZK20" s="120"/>
      <c r="FZL20" s="120"/>
      <c r="FZM20"/>
      <c r="FZN20"/>
      <c r="FZO20"/>
      <c r="FZP20"/>
      <c r="FZQ20"/>
      <c r="FZR20"/>
      <c r="FZS20"/>
      <c r="FZT20"/>
      <c r="FZU20"/>
      <c r="FZV20"/>
      <c r="FZW20"/>
      <c r="FZX20" s="1"/>
      <c r="FZY20" s="1"/>
      <c r="FZZ20" s="1"/>
      <c r="GAA20" s="120"/>
      <c r="GAB20" s="120"/>
      <c r="GAC20" s="120"/>
      <c r="GAD20"/>
      <c r="GAE20"/>
      <c r="GAF20"/>
      <c r="GAG20"/>
      <c r="GAH20"/>
      <c r="GAI20"/>
      <c r="GAJ20"/>
      <c r="GAK20"/>
      <c r="GAL20"/>
      <c r="GAM20"/>
      <c r="GAN20"/>
      <c r="GAO20" s="1"/>
      <c r="GAP20" s="1"/>
      <c r="GAQ20" s="1"/>
      <c r="GAR20" s="120"/>
      <c r="GAS20" s="120"/>
      <c r="GAT20" s="120"/>
      <c r="GAU20"/>
      <c r="GAV20"/>
      <c r="GAW20"/>
      <c r="GAX20"/>
      <c r="GAY20"/>
      <c r="GAZ20"/>
      <c r="GBA20"/>
      <c r="GBB20"/>
      <c r="GBC20"/>
      <c r="GBD20"/>
      <c r="GBE20"/>
      <c r="GBF20" s="1"/>
      <c r="GBG20" s="1"/>
      <c r="GBH20" s="1"/>
      <c r="GBI20" s="120"/>
      <c r="GBJ20" s="120"/>
      <c r="GBK20" s="120"/>
      <c r="GBL20"/>
      <c r="GBM20"/>
      <c r="GBN20"/>
      <c r="GBO20"/>
      <c r="GBP20"/>
      <c r="GBQ20"/>
      <c r="GBR20"/>
      <c r="GBS20"/>
      <c r="GBT20"/>
      <c r="GBU20"/>
      <c r="GBV20"/>
      <c r="GBW20" s="1"/>
      <c r="GBX20" s="1"/>
      <c r="GBY20" s="1"/>
      <c r="GBZ20" s="120"/>
      <c r="GCA20" s="120"/>
      <c r="GCB20" s="120"/>
      <c r="GCC20"/>
      <c r="GCD20"/>
      <c r="GCE20"/>
      <c r="GCF20"/>
      <c r="GCG20"/>
      <c r="GCH20"/>
      <c r="GCI20"/>
      <c r="GCJ20"/>
      <c r="GCK20"/>
      <c r="GCL20"/>
      <c r="GCM20"/>
      <c r="GCN20" s="1"/>
      <c r="GCO20" s="1"/>
      <c r="GCP20" s="1"/>
      <c r="GCQ20" s="120"/>
      <c r="GCR20" s="120"/>
      <c r="GCS20" s="120"/>
      <c r="GCT20"/>
      <c r="GCU20"/>
      <c r="GCV20"/>
      <c r="GCW20"/>
      <c r="GCX20"/>
      <c r="GCY20"/>
      <c r="GCZ20"/>
      <c r="GDA20"/>
      <c r="GDB20"/>
      <c r="GDC20"/>
      <c r="GDD20"/>
      <c r="GDE20" s="1"/>
      <c r="GDF20" s="1"/>
      <c r="GDG20" s="1"/>
      <c r="GDH20" s="120"/>
      <c r="GDI20" s="120"/>
      <c r="GDJ20" s="120"/>
      <c r="GDK20"/>
      <c r="GDL20"/>
      <c r="GDM20"/>
      <c r="GDN20"/>
      <c r="GDO20"/>
      <c r="GDP20"/>
      <c r="GDQ20"/>
      <c r="GDR20"/>
      <c r="GDS20"/>
      <c r="GDT20"/>
      <c r="GDU20"/>
      <c r="GDV20" s="1"/>
      <c r="GDW20" s="1"/>
      <c r="GDX20" s="1"/>
      <c r="GDY20" s="120"/>
      <c r="GDZ20" s="120"/>
      <c r="GEA20" s="120"/>
      <c r="GEB20"/>
      <c r="GEC20"/>
      <c r="GED20"/>
      <c r="GEE20"/>
      <c r="GEF20"/>
      <c r="GEG20"/>
      <c r="GEH20"/>
      <c r="GEI20"/>
      <c r="GEJ20"/>
      <c r="GEK20"/>
      <c r="GEL20"/>
      <c r="GEM20" s="1"/>
      <c r="GEN20" s="1"/>
      <c r="GEO20" s="1"/>
      <c r="GEP20" s="120"/>
      <c r="GEQ20" s="120"/>
      <c r="GER20" s="120"/>
      <c r="GES20"/>
      <c r="GET20"/>
      <c r="GEU20"/>
      <c r="GEV20"/>
      <c r="GEW20"/>
      <c r="GEX20"/>
      <c r="GEY20"/>
      <c r="GEZ20"/>
      <c r="GFA20"/>
      <c r="GFB20"/>
      <c r="GFC20"/>
      <c r="GFD20" s="1"/>
      <c r="GFE20" s="1"/>
      <c r="GFF20" s="1"/>
      <c r="GFG20" s="120"/>
      <c r="GFH20" s="120"/>
      <c r="GFI20" s="120"/>
      <c r="GFJ20"/>
      <c r="GFK20"/>
      <c r="GFL20"/>
      <c r="GFM20"/>
      <c r="GFN20"/>
      <c r="GFO20"/>
      <c r="GFP20"/>
      <c r="GFQ20"/>
      <c r="GFR20"/>
      <c r="GFS20"/>
      <c r="GFT20"/>
      <c r="GFU20" s="1"/>
      <c r="GFV20" s="1"/>
      <c r="GFW20" s="1"/>
      <c r="GFX20" s="120"/>
      <c r="GFY20" s="120"/>
      <c r="GFZ20" s="120"/>
      <c r="GGA20"/>
      <c r="GGB20"/>
      <c r="GGC20"/>
      <c r="GGD20"/>
      <c r="GGE20"/>
      <c r="GGF20"/>
      <c r="GGG20"/>
      <c r="GGH20"/>
      <c r="GGI20"/>
      <c r="GGJ20"/>
      <c r="GGK20"/>
      <c r="GGL20" s="1"/>
      <c r="GGM20" s="1"/>
      <c r="GGN20" s="1"/>
      <c r="GGO20" s="120"/>
      <c r="GGP20" s="120"/>
      <c r="GGQ20" s="120"/>
      <c r="GGR20"/>
      <c r="GGS20"/>
      <c r="GGT20"/>
      <c r="GGU20"/>
      <c r="GGV20"/>
      <c r="GGW20"/>
      <c r="GGX20"/>
      <c r="GGY20"/>
      <c r="GGZ20"/>
      <c r="GHA20"/>
      <c r="GHB20"/>
      <c r="GHC20" s="1"/>
      <c r="GHD20" s="1"/>
      <c r="GHE20" s="1"/>
      <c r="GHF20" s="120"/>
      <c r="GHG20" s="120"/>
      <c r="GHH20" s="120"/>
      <c r="GHI20"/>
      <c r="GHJ20"/>
      <c r="GHK20"/>
      <c r="GHL20"/>
      <c r="GHM20"/>
      <c r="GHN20"/>
      <c r="GHO20"/>
      <c r="GHP20"/>
      <c r="GHQ20"/>
      <c r="GHR20"/>
      <c r="GHS20"/>
      <c r="GHT20" s="1"/>
      <c r="GHU20" s="1"/>
      <c r="GHV20" s="1"/>
      <c r="GHW20" s="120"/>
      <c r="GHX20" s="120"/>
      <c r="GHY20" s="120"/>
      <c r="GHZ20"/>
      <c r="GIA20"/>
      <c r="GIB20"/>
      <c r="GIC20"/>
      <c r="GID20"/>
      <c r="GIE20"/>
      <c r="GIF20"/>
      <c r="GIG20"/>
      <c r="GIH20"/>
      <c r="GII20"/>
      <c r="GIJ20"/>
      <c r="GIK20" s="1"/>
      <c r="GIL20" s="1"/>
      <c r="GIM20" s="1"/>
      <c r="GIN20" s="120"/>
      <c r="GIO20" s="120"/>
      <c r="GIP20" s="120"/>
      <c r="GIQ20"/>
      <c r="GIR20"/>
      <c r="GIS20"/>
      <c r="GIT20"/>
      <c r="GIU20"/>
      <c r="GIV20"/>
      <c r="GIW20"/>
      <c r="GIX20"/>
      <c r="GIY20"/>
      <c r="GIZ20"/>
      <c r="GJA20"/>
      <c r="GJB20" s="1"/>
      <c r="GJC20" s="1"/>
      <c r="GJD20" s="1"/>
      <c r="GJE20" s="120"/>
      <c r="GJF20" s="120"/>
      <c r="GJG20" s="120"/>
      <c r="GJH20"/>
      <c r="GJI20"/>
      <c r="GJJ20"/>
      <c r="GJK20"/>
      <c r="GJL20"/>
      <c r="GJM20"/>
      <c r="GJN20"/>
      <c r="GJO20"/>
      <c r="GJP20"/>
      <c r="GJQ20"/>
      <c r="GJR20"/>
      <c r="GJS20" s="1"/>
      <c r="GJT20" s="1"/>
      <c r="GJU20" s="1"/>
      <c r="GJV20" s="120"/>
      <c r="GJW20" s="120"/>
      <c r="GJX20" s="120"/>
      <c r="GJY20"/>
      <c r="GJZ20"/>
      <c r="GKA20"/>
      <c r="GKB20"/>
      <c r="GKC20"/>
      <c r="GKD20"/>
      <c r="GKE20"/>
      <c r="GKF20"/>
      <c r="GKG20"/>
      <c r="GKH20"/>
      <c r="GKI20"/>
      <c r="GKJ20" s="1"/>
      <c r="GKK20" s="1"/>
      <c r="GKL20" s="1"/>
      <c r="GKM20" s="120"/>
      <c r="GKN20" s="120"/>
      <c r="GKO20" s="120"/>
      <c r="GKP20"/>
      <c r="GKQ20"/>
      <c r="GKR20"/>
      <c r="GKS20"/>
      <c r="GKT20"/>
      <c r="GKU20"/>
      <c r="GKV20"/>
      <c r="GKW20"/>
      <c r="GKX20"/>
      <c r="GKY20"/>
      <c r="GKZ20"/>
      <c r="GLA20" s="1"/>
      <c r="GLB20" s="1"/>
      <c r="GLC20" s="1"/>
      <c r="GLD20" s="120"/>
      <c r="GLE20" s="120"/>
      <c r="GLF20" s="120"/>
      <c r="GLG20"/>
      <c r="GLH20"/>
      <c r="GLI20"/>
      <c r="GLJ20"/>
      <c r="GLK20"/>
      <c r="GLL20"/>
      <c r="GLM20"/>
      <c r="GLN20"/>
      <c r="GLO20"/>
      <c r="GLP20"/>
      <c r="GLQ20"/>
      <c r="GLR20" s="1"/>
      <c r="GLS20" s="1"/>
      <c r="GLT20" s="1"/>
      <c r="GLU20" s="120"/>
      <c r="GLV20" s="120"/>
      <c r="GLW20" s="120"/>
      <c r="GLX20"/>
      <c r="GLY20"/>
      <c r="GLZ20"/>
      <c r="GMA20"/>
      <c r="GMB20"/>
      <c r="GMC20"/>
      <c r="GMD20"/>
      <c r="GME20"/>
      <c r="GMF20"/>
      <c r="GMG20"/>
      <c r="GMH20"/>
      <c r="GMI20" s="1"/>
      <c r="GMJ20" s="1"/>
      <c r="GMK20" s="1"/>
      <c r="GML20" s="120"/>
      <c r="GMM20" s="120"/>
      <c r="GMN20" s="120"/>
      <c r="GMO20"/>
      <c r="GMP20"/>
      <c r="GMQ20"/>
      <c r="GMR20"/>
      <c r="GMS20"/>
      <c r="GMT20"/>
      <c r="GMU20"/>
      <c r="GMV20"/>
      <c r="GMW20"/>
      <c r="GMX20"/>
      <c r="GMY20"/>
      <c r="GMZ20" s="1"/>
      <c r="GNA20" s="1"/>
      <c r="GNB20" s="1"/>
      <c r="GNC20" s="120"/>
      <c r="GND20" s="120"/>
      <c r="GNE20" s="120"/>
      <c r="GNF20"/>
      <c r="GNG20"/>
      <c r="GNH20"/>
      <c r="GNI20"/>
      <c r="GNJ20"/>
      <c r="GNK20"/>
      <c r="GNL20"/>
      <c r="GNM20"/>
      <c r="GNN20"/>
      <c r="GNO20"/>
      <c r="GNP20"/>
      <c r="GNQ20" s="1"/>
      <c r="GNR20" s="1"/>
      <c r="GNS20" s="1"/>
      <c r="GNT20" s="120"/>
      <c r="GNU20" s="120"/>
      <c r="GNV20" s="120"/>
      <c r="GNW20"/>
      <c r="GNX20"/>
      <c r="GNY20"/>
      <c r="GNZ20"/>
      <c r="GOA20"/>
      <c r="GOB20"/>
      <c r="GOC20"/>
      <c r="GOD20"/>
      <c r="GOE20"/>
      <c r="GOF20"/>
      <c r="GOG20"/>
      <c r="GOH20" s="1"/>
      <c r="GOI20" s="1"/>
      <c r="GOJ20" s="1"/>
      <c r="GOK20" s="120"/>
      <c r="GOL20" s="120"/>
      <c r="GOM20" s="120"/>
      <c r="GON20"/>
      <c r="GOO20"/>
      <c r="GOP20"/>
      <c r="GOQ20"/>
      <c r="GOR20"/>
      <c r="GOS20"/>
      <c r="GOT20"/>
      <c r="GOU20"/>
      <c r="GOV20"/>
      <c r="GOW20"/>
      <c r="GOX20"/>
      <c r="GOY20" s="1"/>
      <c r="GOZ20" s="1"/>
      <c r="GPA20" s="1"/>
      <c r="GPB20" s="120"/>
      <c r="GPC20" s="120"/>
      <c r="GPD20" s="120"/>
      <c r="GPE20"/>
      <c r="GPF20"/>
      <c r="GPG20"/>
      <c r="GPH20"/>
      <c r="GPI20"/>
      <c r="GPJ20"/>
      <c r="GPK20"/>
      <c r="GPL20"/>
      <c r="GPM20"/>
      <c r="GPN20"/>
      <c r="GPO20"/>
      <c r="GPP20" s="1"/>
      <c r="GPQ20" s="1"/>
      <c r="GPR20" s="1"/>
      <c r="GPS20" s="120"/>
      <c r="GPT20" s="120"/>
      <c r="GPU20" s="120"/>
      <c r="GPV20"/>
      <c r="GPW20"/>
      <c r="GPX20"/>
      <c r="GPY20"/>
      <c r="GPZ20"/>
      <c r="GQA20"/>
      <c r="GQB20"/>
      <c r="GQC20"/>
      <c r="GQD20"/>
      <c r="GQE20"/>
      <c r="GQF20"/>
      <c r="GQG20" s="1"/>
      <c r="GQH20" s="1"/>
      <c r="GQI20" s="1"/>
      <c r="GQJ20" s="120"/>
      <c r="GQK20" s="120"/>
      <c r="GQL20" s="120"/>
      <c r="GQM20"/>
      <c r="GQN20"/>
      <c r="GQO20"/>
      <c r="GQP20"/>
      <c r="GQQ20"/>
      <c r="GQR20"/>
      <c r="GQS20"/>
      <c r="GQT20"/>
      <c r="GQU20"/>
      <c r="GQV20"/>
      <c r="GQW20"/>
      <c r="GQX20" s="1"/>
      <c r="GQY20" s="1"/>
      <c r="GQZ20" s="1"/>
      <c r="GRA20" s="120"/>
      <c r="GRB20" s="120"/>
      <c r="GRC20" s="120"/>
      <c r="GRD20"/>
      <c r="GRE20"/>
      <c r="GRF20"/>
      <c r="GRG20"/>
      <c r="GRH20"/>
      <c r="GRI20"/>
      <c r="GRJ20"/>
      <c r="GRK20"/>
      <c r="GRL20"/>
      <c r="GRM20"/>
      <c r="GRN20"/>
      <c r="GRO20" s="1"/>
      <c r="GRP20" s="1"/>
      <c r="GRQ20" s="1"/>
      <c r="GRR20" s="120"/>
      <c r="GRS20" s="120"/>
      <c r="GRT20" s="120"/>
      <c r="GRU20"/>
      <c r="GRV20"/>
      <c r="GRW20"/>
      <c r="GRX20"/>
      <c r="GRY20"/>
      <c r="GRZ20"/>
      <c r="GSA20"/>
      <c r="GSB20"/>
      <c r="GSC20"/>
      <c r="GSD20"/>
      <c r="GSE20"/>
      <c r="GSF20" s="1"/>
      <c r="GSG20" s="1"/>
      <c r="GSH20" s="1"/>
      <c r="GSI20" s="120"/>
      <c r="GSJ20" s="120"/>
      <c r="GSK20" s="120"/>
      <c r="GSL20"/>
      <c r="GSM20"/>
      <c r="GSN20"/>
      <c r="GSO20"/>
      <c r="GSP20"/>
      <c r="GSQ20"/>
      <c r="GSR20"/>
      <c r="GSS20"/>
      <c r="GST20"/>
      <c r="GSU20"/>
      <c r="GSV20"/>
      <c r="GSW20" s="1"/>
      <c r="GSX20" s="1"/>
      <c r="GSY20" s="1"/>
      <c r="GSZ20" s="120"/>
      <c r="GTA20" s="120"/>
      <c r="GTB20" s="120"/>
      <c r="GTC20"/>
      <c r="GTD20"/>
      <c r="GTE20"/>
      <c r="GTF20"/>
      <c r="GTG20"/>
      <c r="GTH20"/>
      <c r="GTI20"/>
      <c r="GTJ20"/>
      <c r="GTK20"/>
      <c r="GTL20"/>
      <c r="GTM20"/>
      <c r="GTN20" s="1"/>
      <c r="GTO20" s="1"/>
      <c r="GTP20" s="1"/>
      <c r="GTQ20" s="120"/>
      <c r="GTR20" s="120"/>
      <c r="GTS20" s="120"/>
      <c r="GTT20"/>
      <c r="GTU20"/>
      <c r="GTV20"/>
      <c r="GTW20"/>
      <c r="GTX20"/>
      <c r="GTY20"/>
      <c r="GTZ20"/>
      <c r="GUA20"/>
      <c r="GUB20"/>
      <c r="GUC20"/>
      <c r="GUD20"/>
      <c r="GUE20" s="1"/>
      <c r="GUF20" s="1"/>
      <c r="GUG20" s="1"/>
      <c r="GUH20" s="120"/>
      <c r="GUI20" s="120"/>
      <c r="GUJ20" s="120"/>
      <c r="GUK20"/>
      <c r="GUL20"/>
      <c r="GUM20"/>
      <c r="GUN20"/>
      <c r="GUO20"/>
      <c r="GUP20"/>
      <c r="GUQ20"/>
      <c r="GUR20"/>
      <c r="GUS20"/>
      <c r="GUT20"/>
      <c r="GUU20"/>
      <c r="GUV20" s="1"/>
      <c r="GUW20" s="1"/>
      <c r="GUX20" s="1"/>
      <c r="GUY20" s="120"/>
      <c r="GUZ20" s="120"/>
      <c r="GVA20" s="120"/>
      <c r="GVB20"/>
      <c r="GVC20"/>
      <c r="GVD20"/>
      <c r="GVE20"/>
      <c r="GVF20"/>
      <c r="GVG20"/>
      <c r="GVH20"/>
      <c r="GVI20"/>
      <c r="GVJ20"/>
      <c r="GVK20"/>
      <c r="GVL20"/>
      <c r="GVM20" s="1"/>
      <c r="GVN20" s="1"/>
      <c r="GVO20" s="1"/>
      <c r="GVP20" s="120"/>
      <c r="GVQ20" s="120"/>
      <c r="GVR20" s="120"/>
      <c r="GVS20"/>
      <c r="GVT20"/>
      <c r="GVU20"/>
      <c r="GVV20"/>
      <c r="GVW20"/>
      <c r="GVX20"/>
      <c r="GVY20"/>
      <c r="GVZ20"/>
      <c r="GWA20"/>
      <c r="GWB20"/>
      <c r="GWC20"/>
      <c r="GWD20" s="1"/>
      <c r="GWE20" s="1"/>
      <c r="GWF20" s="1"/>
      <c r="GWG20" s="120"/>
      <c r="GWH20" s="120"/>
      <c r="GWI20" s="120"/>
      <c r="GWJ20"/>
      <c r="GWK20"/>
      <c r="GWL20"/>
      <c r="GWM20"/>
      <c r="GWN20"/>
      <c r="GWO20"/>
      <c r="GWP20"/>
      <c r="GWQ20"/>
      <c r="GWR20"/>
      <c r="GWS20"/>
      <c r="GWT20"/>
      <c r="GWU20" s="1"/>
      <c r="GWV20" s="1"/>
      <c r="GWW20" s="1"/>
      <c r="GWX20" s="120"/>
      <c r="GWY20" s="120"/>
      <c r="GWZ20" s="120"/>
      <c r="GXA20"/>
      <c r="GXB20"/>
      <c r="GXC20"/>
      <c r="GXD20"/>
      <c r="GXE20"/>
      <c r="GXF20"/>
      <c r="GXG20"/>
      <c r="GXH20"/>
      <c r="GXI20"/>
      <c r="GXJ20"/>
      <c r="GXK20"/>
      <c r="GXL20" s="1"/>
      <c r="GXM20" s="1"/>
      <c r="GXN20" s="1"/>
      <c r="GXO20" s="120"/>
      <c r="GXP20" s="120"/>
      <c r="GXQ20" s="120"/>
      <c r="GXR20"/>
      <c r="GXS20"/>
      <c r="GXT20"/>
      <c r="GXU20"/>
      <c r="GXV20"/>
      <c r="GXW20"/>
      <c r="GXX20"/>
      <c r="GXY20"/>
      <c r="GXZ20"/>
      <c r="GYA20"/>
      <c r="GYB20"/>
      <c r="GYC20" s="1"/>
      <c r="GYD20" s="1"/>
      <c r="GYE20" s="1"/>
      <c r="GYF20" s="120"/>
      <c r="GYG20" s="120"/>
      <c r="GYH20" s="120"/>
      <c r="GYI20"/>
      <c r="GYJ20"/>
      <c r="GYK20"/>
      <c r="GYL20"/>
      <c r="GYM20"/>
      <c r="GYN20"/>
      <c r="GYO20"/>
      <c r="GYP20"/>
      <c r="GYQ20"/>
      <c r="GYR20"/>
      <c r="GYS20"/>
      <c r="GYT20" s="1"/>
      <c r="GYU20" s="1"/>
      <c r="GYV20" s="1"/>
      <c r="GYW20" s="120"/>
      <c r="GYX20" s="120"/>
      <c r="GYY20" s="120"/>
      <c r="GYZ20"/>
      <c r="GZA20"/>
      <c r="GZB20"/>
      <c r="GZC20"/>
      <c r="GZD20"/>
      <c r="GZE20"/>
      <c r="GZF20"/>
      <c r="GZG20"/>
      <c r="GZH20"/>
      <c r="GZI20"/>
      <c r="GZJ20"/>
      <c r="GZK20" s="1"/>
      <c r="GZL20" s="1"/>
      <c r="GZM20" s="1"/>
      <c r="GZN20" s="120"/>
      <c r="GZO20" s="120"/>
      <c r="GZP20" s="120"/>
      <c r="GZQ20"/>
      <c r="GZR20"/>
      <c r="GZS20"/>
      <c r="GZT20"/>
      <c r="GZU20"/>
      <c r="GZV20"/>
      <c r="GZW20"/>
      <c r="GZX20"/>
      <c r="GZY20"/>
      <c r="GZZ20"/>
      <c r="HAA20"/>
      <c r="HAB20" s="1"/>
      <c r="HAC20" s="1"/>
      <c r="HAD20" s="1"/>
      <c r="HAE20" s="120"/>
      <c r="HAF20" s="120"/>
      <c r="HAG20" s="120"/>
      <c r="HAH20"/>
      <c r="HAI20"/>
      <c r="HAJ20"/>
      <c r="HAK20"/>
      <c r="HAL20"/>
      <c r="HAM20"/>
      <c r="HAN20"/>
      <c r="HAO20"/>
      <c r="HAP20"/>
      <c r="HAQ20"/>
      <c r="HAR20"/>
      <c r="HAS20" s="1"/>
      <c r="HAT20" s="1"/>
      <c r="HAU20" s="1"/>
      <c r="HAV20" s="120"/>
      <c r="HAW20" s="120"/>
      <c r="HAX20" s="120"/>
      <c r="HAY20"/>
      <c r="HAZ20"/>
      <c r="HBA20"/>
      <c r="HBB20"/>
      <c r="HBC20"/>
      <c r="HBD20"/>
      <c r="HBE20"/>
      <c r="HBF20"/>
      <c r="HBG20"/>
      <c r="HBH20"/>
      <c r="HBI20"/>
      <c r="HBJ20" s="1"/>
      <c r="HBK20" s="1"/>
      <c r="HBL20" s="1"/>
      <c r="HBM20" s="120"/>
      <c r="HBN20" s="120"/>
      <c r="HBO20" s="120"/>
      <c r="HBP20"/>
      <c r="HBQ20"/>
      <c r="HBR20"/>
      <c r="HBS20"/>
      <c r="HBT20"/>
      <c r="HBU20"/>
      <c r="HBV20"/>
      <c r="HBW20"/>
      <c r="HBX20"/>
      <c r="HBY20"/>
      <c r="HBZ20"/>
      <c r="HCA20" s="1"/>
      <c r="HCB20" s="1"/>
      <c r="HCC20" s="1"/>
      <c r="HCD20" s="120"/>
      <c r="HCE20" s="120"/>
      <c r="HCF20" s="120"/>
      <c r="HCG20"/>
      <c r="HCH20"/>
      <c r="HCI20"/>
      <c r="HCJ20"/>
      <c r="HCK20"/>
      <c r="HCL20"/>
      <c r="HCM20"/>
      <c r="HCN20"/>
      <c r="HCO20"/>
      <c r="HCP20"/>
      <c r="HCQ20"/>
      <c r="HCR20" s="1"/>
      <c r="HCS20" s="1"/>
      <c r="HCT20" s="1"/>
      <c r="HCU20" s="120"/>
      <c r="HCV20" s="120"/>
      <c r="HCW20" s="120"/>
      <c r="HCX20"/>
      <c r="HCY20"/>
      <c r="HCZ20"/>
      <c r="HDA20"/>
      <c r="HDB20"/>
      <c r="HDC20"/>
      <c r="HDD20"/>
      <c r="HDE20"/>
      <c r="HDF20"/>
      <c r="HDG20"/>
      <c r="HDH20"/>
      <c r="HDI20" s="1"/>
      <c r="HDJ20" s="1"/>
      <c r="HDK20" s="1"/>
      <c r="HDL20" s="120"/>
      <c r="HDM20" s="120"/>
      <c r="HDN20" s="120"/>
      <c r="HDO20"/>
      <c r="HDP20"/>
      <c r="HDQ20"/>
      <c r="HDR20"/>
      <c r="HDS20"/>
      <c r="HDT20"/>
      <c r="HDU20"/>
      <c r="HDV20"/>
      <c r="HDW20"/>
      <c r="HDX20"/>
      <c r="HDY20"/>
      <c r="HDZ20" s="1"/>
      <c r="HEA20" s="1"/>
      <c r="HEB20" s="1"/>
      <c r="HEC20" s="120"/>
      <c r="HED20" s="120"/>
      <c r="HEE20" s="120"/>
      <c r="HEF20"/>
      <c r="HEG20"/>
      <c r="HEH20"/>
      <c r="HEI20"/>
      <c r="HEJ20"/>
      <c r="HEK20"/>
      <c r="HEL20"/>
      <c r="HEM20"/>
      <c r="HEN20"/>
      <c r="HEO20"/>
      <c r="HEP20"/>
      <c r="HEQ20" s="1"/>
      <c r="HER20" s="1"/>
      <c r="HES20" s="1"/>
      <c r="HET20" s="120"/>
      <c r="HEU20" s="120"/>
      <c r="HEV20" s="120"/>
      <c r="HEW20"/>
      <c r="HEX20"/>
      <c r="HEY20"/>
      <c r="HEZ20"/>
      <c r="HFA20"/>
      <c r="HFB20"/>
      <c r="HFC20"/>
      <c r="HFD20"/>
      <c r="HFE20"/>
      <c r="HFF20"/>
      <c r="HFG20"/>
      <c r="HFH20" s="1"/>
      <c r="HFI20" s="1"/>
      <c r="HFJ20" s="1"/>
      <c r="HFK20" s="120"/>
      <c r="HFL20" s="120"/>
      <c r="HFM20" s="120"/>
      <c r="HFN20"/>
      <c r="HFO20"/>
      <c r="HFP20"/>
      <c r="HFQ20"/>
      <c r="HFR20"/>
      <c r="HFS20"/>
      <c r="HFT20"/>
      <c r="HFU20"/>
      <c r="HFV20"/>
      <c r="HFW20"/>
      <c r="HFX20"/>
      <c r="HFY20" s="1"/>
      <c r="HFZ20" s="1"/>
      <c r="HGA20" s="1"/>
      <c r="HGB20" s="120"/>
      <c r="HGC20" s="120"/>
      <c r="HGD20" s="120"/>
      <c r="HGE20"/>
      <c r="HGF20"/>
      <c r="HGG20"/>
      <c r="HGH20"/>
      <c r="HGI20"/>
      <c r="HGJ20"/>
      <c r="HGK20"/>
      <c r="HGL20"/>
      <c r="HGM20"/>
      <c r="HGN20"/>
      <c r="HGO20"/>
      <c r="HGP20" s="1"/>
      <c r="HGQ20" s="1"/>
      <c r="HGR20" s="1"/>
      <c r="HGS20" s="120"/>
      <c r="HGT20" s="120"/>
      <c r="HGU20" s="120"/>
      <c r="HGV20"/>
      <c r="HGW20"/>
      <c r="HGX20"/>
      <c r="HGY20"/>
      <c r="HGZ20"/>
      <c r="HHA20"/>
      <c r="HHB20"/>
      <c r="HHC20"/>
      <c r="HHD20"/>
      <c r="HHE20"/>
      <c r="HHF20"/>
      <c r="HHG20" s="1"/>
      <c r="HHH20" s="1"/>
      <c r="HHI20" s="1"/>
      <c r="HHJ20" s="120"/>
      <c r="HHK20" s="120"/>
      <c r="HHL20" s="120"/>
      <c r="HHM20"/>
      <c r="HHN20"/>
      <c r="HHO20"/>
      <c r="HHP20"/>
      <c r="HHQ20"/>
      <c r="HHR20"/>
      <c r="HHS20"/>
      <c r="HHT20"/>
      <c r="HHU20"/>
      <c r="HHV20"/>
      <c r="HHW20"/>
      <c r="HHX20" s="1"/>
      <c r="HHY20" s="1"/>
      <c r="HHZ20" s="1"/>
      <c r="HIA20" s="120"/>
      <c r="HIB20" s="120"/>
      <c r="HIC20" s="120"/>
      <c r="HID20"/>
      <c r="HIE20"/>
      <c r="HIF20"/>
      <c r="HIG20"/>
      <c r="HIH20"/>
      <c r="HII20"/>
      <c r="HIJ20"/>
      <c r="HIK20"/>
      <c r="HIL20"/>
      <c r="HIM20"/>
      <c r="HIN20"/>
      <c r="HIO20" s="1"/>
      <c r="HIP20" s="1"/>
      <c r="HIQ20" s="1"/>
      <c r="HIR20" s="120"/>
      <c r="HIS20" s="120"/>
      <c r="HIT20" s="120"/>
      <c r="HIU20"/>
      <c r="HIV20"/>
      <c r="HIW20"/>
      <c r="HIX20"/>
      <c r="HIY20"/>
      <c r="HIZ20"/>
      <c r="HJA20"/>
      <c r="HJB20"/>
      <c r="HJC20"/>
      <c r="HJD20"/>
      <c r="HJE20"/>
      <c r="HJF20" s="1"/>
      <c r="HJG20" s="1"/>
      <c r="HJH20" s="1"/>
      <c r="HJI20" s="120"/>
      <c r="HJJ20" s="120"/>
      <c r="HJK20" s="120"/>
      <c r="HJL20"/>
      <c r="HJM20"/>
      <c r="HJN20"/>
      <c r="HJO20"/>
      <c r="HJP20"/>
      <c r="HJQ20"/>
      <c r="HJR20"/>
      <c r="HJS20"/>
      <c r="HJT20"/>
      <c r="HJU20"/>
      <c r="HJV20"/>
      <c r="HJW20" s="1"/>
      <c r="HJX20" s="1"/>
      <c r="HJY20" s="1"/>
      <c r="HJZ20" s="120"/>
      <c r="HKA20" s="120"/>
      <c r="HKB20" s="120"/>
      <c r="HKC20"/>
      <c r="HKD20"/>
      <c r="HKE20"/>
      <c r="HKF20"/>
      <c r="HKG20"/>
      <c r="HKH20"/>
      <c r="HKI20"/>
      <c r="HKJ20"/>
      <c r="HKK20"/>
      <c r="HKL20"/>
      <c r="HKM20"/>
      <c r="HKN20" s="1"/>
      <c r="HKO20" s="1"/>
      <c r="HKP20" s="1"/>
      <c r="HKQ20" s="120"/>
      <c r="HKR20" s="120"/>
      <c r="HKS20" s="120"/>
      <c r="HKT20"/>
      <c r="HKU20"/>
      <c r="HKV20"/>
      <c r="HKW20"/>
      <c r="HKX20"/>
      <c r="HKY20"/>
      <c r="HKZ20"/>
      <c r="HLA20"/>
      <c r="HLB20"/>
      <c r="HLC20"/>
      <c r="HLD20"/>
      <c r="HLE20" s="1"/>
      <c r="HLF20" s="1"/>
      <c r="HLG20" s="1"/>
      <c r="HLH20" s="120"/>
      <c r="HLI20" s="120"/>
      <c r="HLJ20" s="120"/>
      <c r="HLK20"/>
      <c r="HLL20"/>
      <c r="HLM20"/>
      <c r="HLN20"/>
      <c r="HLO20"/>
      <c r="HLP20"/>
      <c r="HLQ20"/>
      <c r="HLR20"/>
      <c r="HLS20"/>
      <c r="HLT20"/>
      <c r="HLU20"/>
      <c r="HLV20" s="1"/>
      <c r="HLW20" s="1"/>
      <c r="HLX20" s="1"/>
      <c r="HLY20" s="120"/>
      <c r="HLZ20" s="120"/>
      <c r="HMA20" s="120"/>
      <c r="HMB20"/>
      <c r="HMC20"/>
      <c r="HMD20"/>
      <c r="HME20"/>
      <c r="HMF20"/>
      <c r="HMG20"/>
      <c r="HMH20"/>
      <c r="HMI20"/>
      <c r="HMJ20"/>
      <c r="HMK20"/>
      <c r="HML20"/>
      <c r="HMM20" s="1"/>
      <c r="HMN20" s="1"/>
      <c r="HMO20" s="1"/>
      <c r="HMP20" s="120"/>
      <c r="HMQ20" s="120"/>
      <c r="HMR20" s="120"/>
      <c r="HMS20"/>
      <c r="HMT20"/>
      <c r="HMU20"/>
      <c r="HMV20"/>
      <c r="HMW20"/>
      <c r="HMX20"/>
      <c r="HMY20"/>
      <c r="HMZ20"/>
      <c r="HNA20"/>
      <c r="HNB20"/>
      <c r="HNC20"/>
      <c r="HND20" s="1"/>
      <c r="HNE20" s="1"/>
      <c r="HNF20" s="1"/>
      <c r="HNG20" s="120"/>
      <c r="HNH20" s="120"/>
      <c r="HNI20" s="120"/>
      <c r="HNJ20"/>
      <c r="HNK20"/>
      <c r="HNL20"/>
      <c r="HNM20"/>
      <c r="HNN20"/>
      <c r="HNO20"/>
      <c r="HNP20"/>
      <c r="HNQ20"/>
      <c r="HNR20"/>
      <c r="HNS20"/>
      <c r="HNT20"/>
      <c r="HNU20" s="1"/>
      <c r="HNV20" s="1"/>
      <c r="HNW20" s="1"/>
      <c r="HNX20" s="120"/>
      <c r="HNY20" s="120"/>
      <c r="HNZ20" s="120"/>
      <c r="HOA20"/>
      <c r="HOB20"/>
      <c r="HOC20"/>
      <c r="HOD20"/>
      <c r="HOE20"/>
      <c r="HOF20"/>
      <c r="HOG20"/>
      <c r="HOH20"/>
      <c r="HOI20"/>
      <c r="HOJ20"/>
      <c r="HOK20"/>
      <c r="HOL20" s="1"/>
      <c r="HOM20" s="1"/>
      <c r="HON20" s="1"/>
      <c r="HOO20" s="120"/>
      <c r="HOP20" s="120"/>
      <c r="HOQ20" s="120"/>
      <c r="HOR20"/>
      <c r="HOS20"/>
      <c r="HOT20"/>
      <c r="HOU20"/>
      <c r="HOV20"/>
      <c r="HOW20"/>
      <c r="HOX20"/>
      <c r="HOY20"/>
      <c r="HOZ20"/>
      <c r="HPA20"/>
      <c r="HPB20"/>
      <c r="HPC20" s="1"/>
      <c r="HPD20" s="1"/>
      <c r="HPE20" s="1"/>
      <c r="HPF20" s="120"/>
      <c r="HPG20" s="120"/>
      <c r="HPH20" s="120"/>
      <c r="HPI20"/>
      <c r="HPJ20"/>
      <c r="HPK20"/>
      <c r="HPL20"/>
      <c r="HPM20"/>
      <c r="HPN20"/>
      <c r="HPO20"/>
      <c r="HPP20"/>
      <c r="HPQ20"/>
      <c r="HPR20"/>
      <c r="HPS20"/>
      <c r="HPT20" s="1"/>
      <c r="HPU20" s="1"/>
      <c r="HPV20" s="1"/>
      <c r="HPW20" s="120"/>
      <c r="HPX20" s="120"/>
      <c r="HPY20" s="120"/>
      <c r="HPZ20"/>
      <c r="HQA20"/>
      <c r="HQB20"/>
      <c r="HQC20"/>
      <c r="HQD20"/>
      <c r="HQE20"/>
      <c r="HQF20"/>
      <c r="HQG20"/>
      <c r="HQH20"/>
      <c r="HQI20"/>
      <c r="HQJ20"/>
      <c r="HQK20" s="1"/>
      <c r="HQL20" s="1"/>
      <c r="HQM20" s="1"/>
      <c r="HQN20" s="120"/>
      <c r="HQO20" s="120"/>
      <c r="HQP20" s="120"/>
      <c r="HQQ20"/>
      <c r="HQR20"/>
      <c r="HQS20"/>
      <c r="HQT20"/>
      <c r="HQU20"/>
      <c r="HQV20"/>
      <c r="HQW20"/>
      <c r="HQX20"/>
      <c r="HQY20"/>
      <c r="HQZ20"/>
      <c r="HRA20"/>
      <c r="HRB20" s="1"/>
      <c r="HRC20" s="1"/>
      <c r="HRD20" s="1"/>
      <c r="HRE20" s="120"/>
      <c r="HRF20" s="120"/>
      <c r="HRG20" s="120"/>
      <c r="HRH20"/>
      <c r="HRI20"/>
      <c r="HRJ20"/>
      <c r="HRK20"/>
      <c r="HRL20"/>
      <c r="HRM20"/>
      <c r="HRN20"/>
      <c r="HRO20"/>
      <c r="HRP20"/>
      <c r="HRQ20"/>
      <c r="HRR20"/>
      <c r="HRS20" s="1"/>
      <c r="HRT20" s="1"/>
      <c r="HRU20" s="1"/>
      <c r="HRV20" s="120"/>
      <c r="HRW20" s="120"/>
      <c r="HRX20" s="120"/>
      <c r="HRY20"/>
      <c r="HRZ20"/>
      <c r="HSA20"/>
      <c r="HSB20"/>
      <c r="HSC20"/>
      <c r="HSD20"/>
      <c r="HSE20"/>
      <c r="HSF20"/>
      <c r="HSG20"/>
      <c r="HSH20"/>
      <c r="HSI20"/>
      <c r="HSJ20" s="1"/>
      <c r="HSK20" s="1"/>
      <c r="HSL20" s="1"/>
      <c r="HSM20" s="120"/>
      <c r="HSN20" s="120"/>
      <c r="HSO20" s="120"/>
      <c r="HSP20"/>
      <c r="HSQ20"/>
      <c r="HSR20"/>
      <c r="HSS20"/>
      <c r="HST20"/>
      <c r="HSU20"/>
      <c r="HSV20"/>
      <c r="HSW20"/>
      <c r="HSX20"/>
      <c r="HSY20"/>
      <c r="HSZ20"/>
      <c r="HTA20" s="1"/>
      <c r="HTB20" s="1"/>
      <c r="HTC20" s="1"/>
      <c r="HTD20" s="120"/>
      <c r="HTE20" s="120"/>
      <c r="HTF20" s="120"/>
      <c r="HTG20"/>
      <c r="HTH20"/>
      <c r="HTI20"/>
      <c r="HTJ20"/>
      <c r="HTK20"/>
      <c r="HTL20"/>
      <c r="HTM20"/>
      <c r="HTN20"/>
      <c r="HTO20"/>
      <c r="HTP20"/>
      <c r="HTQ20"/>
      <c r="HTR20" s="1"/>
      <c r="HTS20" s="1"/>
      <c r="HTT20" s="1"/>
      <c r="HTU20" s="120"/>
      <c r="HTV20" s="120"/>
      <c r="HTW20" s="120"/>
      <c r="HTX20"/>
      <c r="HTY20"/>
      <c r="HTZ20"/>
      <c r="HUA20"/>
      <c r="HUB20"/>
      <c r="HUC20"/>
      <c r="HUD20"/>
      <c r="HUE20"/>
      <c r="HUF20"/>
      <c r="HUG20"/>
      <c r="HUH20"/>
      <c r="HUI20" s="1"/>
      <c r="HUJ20" s="1"/>
      <c r="HUK20" s="1"/>
      <c r="HUL20" s="120"/>
      <c r="HUM20" s="120"/>
      <c r="HUN20" s="120"/>
      <c r="HUO20"/>
      <c r="HUP20"/>
      <c r="HUQ20"/>
      <c r="HUR20"/>
      <c r="HUS20"/>
      <c r="HUT20"/>
      <c r="HUU20"/>
      <c r="HUV20"/>
      <c r="HUW20"/>
      <c r="HUX20"/>
      <c r="HUY20"/>
      <c r="HUZ20" s="1"/>
      <c r="HVA20" s="1"/>
      <c r="HVB20" s="1"/>
      <c r="HVC20" s="120"/>
      <c r="HVD20" s="120"/>
      <c r="HVE20" s="120"/>
      <c r="HVF20"/>
      <c r="HVG20"/>
      <c r="HVH20"/>
      <c r="HVI20"/>
      <c r="HVJ20"/>
      <c r="HVK20"/>
      <c r="HVL20"/>
      <c r="HVM20"/>
      <c r="HVN20"/>
      <c r="HVO20"/>
      <c r="HVP20"/>
      <c r="HVQ20" s="1"/>
      <c r="HVR20" s="1"/>
      <c r="HVS20" s="1"/>
      <c r="HVT20" s="120"/>
      <c r="HVU20" s="120"/>
      <c r="HVV20" s="120"/>
      <c r="HVW20"/>
      <c r="HVX20"/>
      <c r="HVY20"/>
      <c r="HVZ20"/>
      <c r="HWA20"/>
      <c r="HWB20"/>
      <c r="HWC20"/>
      <c r="HWD20"/>
      <c r="HWE20"/>
      <c r="HWF20"/>
      <c r="HWG20"/>
      <c r="HWH20" s="1"/>
      <c r="HWI20" s="1"/>
      <c r="HWJ20" s="1"/>
      <c r="HWK20" s="120"/>
      <c r="HWL20" s="120"/>
      <c r="HWM20" s="120"/>
      <c r="HWN20"/>
      <c r="HWO20"/>
      <c r="HWP20"/>
      <c r="HWQ20"/>
      <c r="HWR20"/>
      <c r="HWS20"/>
      <c r="HWT20"/>
      <c r="HWU20"/>
      <c r="HWV20"/>
      <c r="HWW20"/>
      <c r="HWX20"/>
      <c r="HWY20" s="1"/>
      <c r="HWZ20" s="1"/>
      <c r="HXA20" s="1"/>
      <c r="HXB20" s="120"/>
      <c r="HXC20" s="120"/>
      <c r="HXD20" s="120"/>
      <c r="HXE20"/>
      <c r="HXF20"/>
      <c r="HXG20"/>
      <c r="HXH20"/>
      <c r="HXI20"/>
      <c r="HXJ20"/>
      <c r="HXK20"/>
      <c r="HXL20"/>
      <c r="HXM20"/>
      <c r="HXN20"/>
      <c r="HXO20"/>
      <c r="HXP20" s="1"/>
      <c r="HXQ20" s="1"/>
      <c r="HXR20" s="1"/>
      <c r="HXS20" s="120"/>
      <c r="HXT20" s="120"/>
      <c r="HXU20" s="120"/>
      <c r="HXV20"/>
      <c r="HXW20"/>
      <c r="HXX20"/>
      <c r="HXY20"/>
      <c r="HXZ20"/>
      <c r="HYA20"/>
      <c r="HYB20"/>
      <c r="HYC20"/>
      <c r="HYD20"/>
      <c r="HYE20"/>
      <c r="HYF20"/>
      <c r="HYG20" s="1"/>
      <c r="HYH20" s="1"/>
      <c r="HYI20" s="1"/>
      <c r="HYJ20" s="120"/>
      <c r="HYK20" s="120"/>
      <c r="HYL20" s="120"/>
      <c r="HYM20"/>
      <c r="HYN20"/>
      <c r="HYO20"/>
      <c r="HYP20"/>
      <c r="HYQ20"/>
      <c r="HYR20"/>
      <c r="HYS20"/>
      <c r="HYT20"/>
      <c r="HYU20"/>
      <c r="HYV20"/>
      <c r="HYW20"/>
      <c r="HYX20" s="1"/>
      <c r="HYY20" s="1"/>
      <c r="HYZ20" s="1"/>
      <c r="HZA20" s="120"/>
      <c r="HZB20" s="120"/>
      <c r="HZC20" s="120"/>
      <c r="HZD20"/>
      <c r="HZE20"/>
      <c r="HZF20"/>
      <c r="HZG20"/>
      <c r="HZH20"/>
      <c r="HZI20"/>
      <c r="HZJ20"/>
      <c r="HZK20"/>
      <c r="HZL20"/>
      <c r="HZM20"/>
      <c r="HZN20"/>
      <c r="HZO20" s="1"/>
      <c r="HZP20" s="1"/>
      <c r="HZQ20" s="1"/>
      <c r="HZR20" s="120"/>
      <c r="HZS20" s="120"/>
      <c r="HZT20" s="120"/>
      <c r="HZU20"/>
      <c r="HZV20"/>
      <c r="HZW20"/>
      <c r="HZX20"/>
      <c r="HZY20"/>
      <c r="HZZ20"/>
      <c r="IAA20"/>
      <c r="IAB20"/>
      <c r="IAC20"/>
      <c r="IAD20"/>
      <c r="IAE20"/>
      <c r="IAF20" s="1"/>
      <c r="IAG20" s="1"/>
      <c r="IAH20" s="1"/>
      <c r="IAI20" s="120"/>
      <c r="IAJ20" s="120"/>
      <c r="IAK20" s="120"/>
      <c r="IAL20"/>
      <c r="IAM20"/>
      <c r="IAN20"/>
      <c r="IAO20"/>
      <c r="IAP20"/>
      <c r="IAQ20"/>
      <c r="IAR20"/>
      <c r="IAS20"/>
      <c r="IAT20"/>
      <c r="IAU20"/>
      <c r="IAV20"/>
      <c r="IAW20" s="1"/>
      <c r="IAX20" s="1"/>
      <c r="IAY20" s="1"/>
      <c r="IAZ20" s="120"/>
      <c r="IBA20" s="120"/>
      <c r="IBB20" s="120"/>
      <c r="IBC20"/>
      <c r="IBD20"/>
      <c r="IBE20"/>
      <c r="IBF20"/>
      <c r="IBG20"/>
      <c r="IBH20"/>
      <c r="IBI20"/>
      <c r="IBJ20"/>
      <c r="IBK20"/>
      <c r="IBL20"/>
      <c r="IBM20"/>
      <c r="IBN20" s="1"/>
      <c r="IBO20" s="1"/>
      <c r="IBP20" s="1"/>
      <c r="IBQ20" s="120"/>
      <c r="IBR20" s="120"/>
      <c r="IBS20" s="120"/>
      <c r="IBT20"/>
      <c r="IBU20"/>
      <c r="IBV20"/>
      <c r="IBW20"/>
      <c r="IBX20"/>
      <c r="IBY20"/>
      <c r="IBZ20"/>
      <c r="ICA20"/>
      <c r="ICB20"/>
      <c r="ICC20"/>
      <c r="ICD20"/>
      <c r="ICE20" s="1"/>
      <c r="ICF20" s="1"/>
      <c r="ICG20" s="1"/>
      <c r="ICH20" s="120"/>
      <c r="ICI20" s="120"/>
      <c r="ICJ20" s="120"/>
      <c r="ICK20"/>
      <c r="ICL20"/>
      <c r="ICM20"/>
      <c r="ICN20"/>
      <c r="ICO20"/>
      <c r="ICP20"/>
      <c r="ICQ20"/>
      <c r="ICR20"/>
      <c r="ICS20"/>
      <c r="ICT20"/>
      <c r="ICU20"/>
      <c r="ICV20" s="1"/>
      <c r="ICW20" s="1"/>
      <c r="ICX20" s="1"/>
      <c r="ICY20" s="120"/>
      <c r="ICZ20" s="120"/>
      <c r="IDA20" s="120"/>
      <c r="IDB20"/>
      <c r="IDC20"/>
      <c r="IDD20"/>
      <c r="IDE20"/>
      <c r="IDF20"/>
      <c r="IDG20"/>
      <c r="IDH20"/>
      <c r="IDI20"/>
      <c r="IDJ20"/>
      <c r="IDK20"/>
      <c r="IDL20"/>
      <c r="IDM20" s="1"/>
      <c r="IDN20" s="1"/>
      <c r="IDO20" s="1"/>
      <c r="IDP20" s="120"/>
      <c r="IDQ20" s="120"/>
      <c r="IDR20" s="120"/>
      <c r="IDS20"/>
      <c r="IDT20"/>
      <c r="IDU20"/>
      <c r="IDV20"/>
      <c r="IDW20"/>
      <c r="IDX20"/>
      <c r="IDY20"/>
      <c r="IDZ20"/>
      <c r="IEA20"/>
      <c r="IEB20"/>
      <c r="IEC20"/>
      <c r="IED20" s="1"/>
      <c r="IEE20" s="1"/>
      <c r="IEF20" s="1"/>
      <c r="IEG20" s="120"/>
      <c r="IEH20" s="120"/>
      <c r="IEI20" s="120"/>
      <c r="IEJ20"/>
      <c r="IEK20"/>
      <c r="IEL20"/>
      <c r="IEM20"/>
      <c r="IEN20"/>
      <c r="IEO20"/>
      <c r="IEP20"/>
      <c r="IEQ20"/>
      <c r="IER20"/>
      <c r="IES20"/>
      <c r="IET20"/>
      <c r="IEU20" s="1"/>
      <c r="IEV20" s="1"/>
      <c r="IEW20" s="1"/>
      <c r="IEX20" s="120"/>
      <c r="IEY20" s="120"/>
      <c r="IEZ20" s="120"/>
      <c r="IFA20"/>
      <c r="IFB20"/>
      <c r="IFC20"/>
      <c r="IFD20"/>
      <c r="IFE20"/>
      <c r="IFF20"/>
      <c r="IFG20"/>
      <c r="IFH20"/>
      <c r="IFI20"/>
      <c r="IFJ20"/>
      <c r="IFK20"/>
      <c r="IFL20" s="1"/>
      <c r="IFM20" s="1"/>
      <c r="IFN20" s="1"/>
      <c r="IFO20" s="120"/>
      <c r="IFP20" s="120"/>
      <c r="IFQ20" s="120"/>
      <c r="IFR20"/>
      <c r="IFS20"/>
      <c r="IFT20"/>
      <c r="IFU20"/>
      <c r="IFV20"/>
      <c r="IFW20"/>
      <c r="IFX20"/>
      <c r="IFY20"/>
      <c r="IFZ20"/>
      <c r="IGA20"/>
      <c r="IGB20"/>
      <c r="IGC20" s="1"/>
      <c r="IGD20" s="1"/>
      <c r="IGE20" s="1"/>
      <c r="IGF20" s="120"/>
      <c r="IGG20" s="120"/>
      <c r="IGH20" s="120"/>
      <c r="IGI20"/>
      <c r="IGJ20"/>
      <c r="IGK20"/>
      <c r="IGL20"/>
      <c r="IGM20"/>
      <c r="IGN20"/>
      <c r="IGO20"/>
      <c r="IGP20"/>
      <c r="IGQ20"/>
      <c r="IGR20"/>
      <c r="IGS20"/>
      <c r="IGT20" s="1"/>
      <c r="IGU20" s="1"/>
      <c r="IGV20" s="1"/>
      <c r="IGW20" s="120"/>
      <c r="IGX20" s="120"/>
      <c r="IGY20" s="120"/>
      <c r="IGZ20"/>
      <c r="IHA20"/>
      <c r="IHB20"/>
      <c r="IHC20"/>
      <c r="IHD20"/>
      <c r="IHE20"/>
      <c r="IHF20"/>
      <c r="IHG20"/>
      <c r="IHH20"/>
      <c r="IHI20"/>
      <c r="IHJ20"/>
      <c r="IHK20" s="1"/>
      <c r="IHL20" s="1"/>
      <c r="IHM20" s="1"/>
      <c r="IHN20" s="120"/>
      <c r="IHO20" s="120"/>
      <c r="IHP20" s="120"/>
      <c r="IHQ20"/>
      <c r="IHR20"/>
      <c r="IHS20"/>
      <c r="IHT20"/>
      <c r="IHU20"/>
      <c r="IHV20"/>
      <c r="IHW20"/>
      <c r="IHX20"/>
      <c r="IHY20"/>
      <c r="IHZ20"/>
      <c r="IIA20"/>
      <c r="IIB20" s="1"/>
      <c r="IIC20" s="1"/>
      <c r="IID20" s="1"/>
      <c r="IIE20" s="120"/>
      <c r="IIF20" s="120"/>
      <c r="IIG20" s="120"/>
      <c r="IIH20"/>
      <c r="III20"/>
      <c r="IIJ20"/>
      <c r="IIK20"/>
      <c r="IIL20"/>
      <c r="IIM20"/>
      <c r="IIN20"/>
      <c r="IIO20"/>
      <c r="IIP20"/>
      <c r="IIQ20"/>
      <c r="IIR20"/>
      <c r="IIS20" s="1"/>
      <c r="IIT20" s="1"/>
      <c r="IIU20" s="1"/>
      <c r="IIV20" s="120"/>
      <c r="IIW20" s="120"/>
      <c r="IIX20" s="120"/>
      <c r="IIY20"/>
      <c r="IIZ20"/>
      <c r="IJA20"/>
      <c r="IJB20"/>
      <c r="IJC20"/>
      <c r="IJD20"/>
      <c r="IJE20"/>
      <c r="IJF20"/>
      <c r="IJG20"/>
      <c r="IJH20"/>
      <c r="IJI20"/>
      <c r="IJJ20" s="1"/>
      <c r="IJK20" s="1"/>
      <c r="IJL20" s="1"/>
      <c r="IJM20" s="120"/>
      <c r="IJN20" s="120"/>
      <c r="IJO20" s="120"/>
      <c r="IJP20"/>
      <c r="IJQ20"/>
      <c r="IJR20"/>
      <c r="IJS20"/>
      <c r="IJT20"/>
      <c r="IJU20"/>
      <c r="IJV20"/>
      <c r="IJW20"/>
      <c r="IJX20"/>
      <c r="IJY20"/>
      <c r="IJZ20"/>
      <c r="IKA20" s="1"/>
      <c r="IKB20" s="1"/>
      <c r="IKC20" s="1"/>
      <c r="IKD20" s="120"/>
      <c r="IKE20" s="120"/>
      <c r="IKF20" s="120"/>
      <c r="IKG20"/>
      <c r="IKH20"/>
      <c r="IKI20"/>
      <c r="IKJ20"/>
      <c r="IKK20"/>
      <c r="IKL20"/>
      <c r="IKM20"/>
      <c r="IKN20"/>
      <c r="IKO20"/>
      <c r="IKP20"/>
      <c r="IKQ20"/>
      <c r="IKR20" s="1"/>
      <c r="IKS20" s="1"/>
      <c r="IKT20" s="1"/>
      <c r="IKU20" s="120"/>
      <c r="IKV20" s="120"/>
      <c r="IKW20" s="120"/>
      <c r="IKX20"/>
      <c r="IKY20"/>
      <c r="IKZ20"/>
      <c r="ILA20"/>
      <c r="ILB20"/>
      <c r="ILC20"/>
      <c r="ILD20"/>
      <c r="ILE20"/>
      <c r="ILF20"/>
      <c r="ILG20"/>
      <c r="ILH20"/>
      <c r="ILI20" s="1"/>
      <c r="ILJ20" s="1"/>
      <c r="ILK20" s="1"/>
      <c r="ILL20" s="120"/>
      <c r="ILM20" s="120"/>
      <c r="ILN20" s="120"/>
      <c r="ILO20"/>
      <c r="ILP20"/>
      <c r="ILQ20"/>
      <c r="ILR20"/>
      <c r="ILS20"/>
      <c r="ILT20"/>
      <c r="ILU20"/>
      <c r="ILV20"/>
      <c r="ILW20"/>
      <c r="ILX20"/>
      <c r="ILY20"/>
      <c r="ILZ20" s="1"/>
      <c r="IMA20" s="1"/>
      <c r="IMB20" s="1"/>
      <c r="IMC20" s="120"/>
      <c r="IMD20" s="120"/>
      <c r="IME20" s="120"/>
      <c r="IMF20"/>
      <c r="IMG20"/>
      <c r="IMH20"/>
      <c r="IMI20"/>
      <c r="IMJ20"/>
      <c r="IMK20"/>
      <c r="IML20"/>
      <c r="IMM20"/>
      <c r="IMN20"/>
      <c r="IMO20"/>
      <c r="IMP20"/>
      <c r="IMQ20" s="1"/>
      <c r="IMR20" s="1"/>
      <c r="IMS20" s="1"/>
      <c r="IMT20" s="120"/>
      <c r="IMU20" s="120"/>
      <c r="IMV20" s="120"/>
      <c r="IMW20"/>
      <c r="IMX20"/>
      <c r="IMY20"/>
      <c r="IMZ20"/>
      <c r="INA20"/>
      <c r="INB20"/>
      <c r="INC20"/>
      <c r="IND20"/>
      <c r="INE20"/>
      <c r="INF20"/>
      <c r="ING20"/>
      <c r="INH20" s="1"/>
      <c r="INI20" s="1"/>
      <c r="INJ20" s="1"/>
      <c r="INK20" s="120"/>
      <c r="INL20" s="120"/>
      <c r="INM20" s="120"/>
      <c r="INN20"/>
      <c r="INO20"/>
      <c r="INP20"/>
      <c r="INQ20"/>
      <c r="INR20"/>
      <c r="INS20"/>
      <c r="INT20"/>
      <c r="INU20"/>
      <c r="INV20"/>
      <c r="INW20"/>
      <c r="INX20"/>
      <c r="INY20" s="1"/>
      <c r="INZ20" s="1"/>
      <c r="IOA20" s="1"/>
      <c r="IOB20" s="120"/>
      <c r="IOC20" s="120"/>
      <c r="IOD20" s="120"/>
      <c r="IOE20"/>
      <c r="IOF20"/>
      <c r="IOG20"/>
      <c r="IOH20"/>
      <c r="IOI20"/>
      <c r="IOJ20"/>
      <c r="IOK20"/>
      <c r="IOL20"/>
      <c r="IOM20"/>
      <c r="ION20"/>
      <c r="IOO20"/>
      <c r="IOP20" s="1"/>
      <c r="IOQ20" s="1"/>
      <c r="IOR20" s="1"/>
      <c r="IOS20" s="120"/>
      <c r="IOT20" s="120"/>
      <c r="IOU20" s="120"/>
      <c r="IOV20"/>
      <c r="IOW20"/>
      <c r="IOX20"/>
      <c r="IOY20"/>
      <c r="IOZ20"/>
      <c r="IPA20"/>
      <c r="IPB20"/>
      <c r="IPC20"/>
      <c r="IPD20"/>
      <c r="IPE20"/>
      <c r="IPF20"/>
      <c r="IPG20" s="1"/>
      <c r="IPH20" s="1"/>
      <c r="IPI20" s="1"/>
      <c r="IPJ20" s="120"/>
      <c r="IPK20" s="120"/>
      <c r="IPL20" s="120"/>
      <c r="IPM20"/>
      <c r="IPN20"/>
      <c r="IPO20"/>
      <c r="IPP20"/>
      <c r="IPQ20"/>
      <c r="IPR20"/>
      <c r="IPS20"/>
      <c r="IPT20"/>
      <c r="IPU20"/>
      <c r="IPV20"/>
      <c r="IPW20"/>
      <c r="IPX20" s="1"/>
      <c r="IPY20" s="1"/>
      <c r="IPZ20" s="1"/>
      <c r="IQA20" s="120"/>
      <c r="IQB20" s="120"/>
      <c r="IQC20" s="120"/>
      <c r="IQD20"/>
      <c r="IQE20"/>
      <c r="IQF20"/>
      <c r="IQG20"/>
      <c r="IQH20"/>
      <c r="IQI20"/>
      <c r="IQJ20"/>
      <c r="IQK20"/>
      <c r="IQL20"/>
      <c r="IQM20"/>
      <c r="IQN20"/>
      <c r="IQO20" s="1"/>
      <c r="IQP20" s="1"/>
      <c r="IQQ20" s="1"/>
      <c r="IQR20" s="120"/>
      <c r="IQS20" s="120"/>
      <c r="IQT20" s="120"/>
      <c r="IQU20"/>
      <c r="IQV20"/>
      <c r="IQW20"/>
      <c r="IQX20"/>
      <c r="IQY20"/>
      <c r="IQZ20"/>
      <c r="IRA20"/>
      <c r="IRB20"/>
      <c r="IRC20"/>
      <c r="IRD20"/>
      <c r="IRE20"/>
      <c r="IRF20" s="1"/>
      <c r="IRG20" s="1"/>
      <c r="IRH20" s="1"/>
      <c r="IRI20" s="120"/>
      <c r="IRJ20" s="120"/>
      <c r="IRK20" s="120"/>
      <c r="IRL20"/>
      <c r="IRM20"/>
      <c r="IRN20"/>
      <c r="IRO20"/>
      <c r="IRP20"/>
      <c r="IRQ20"/>
      <c r="IRR20"/>
      <c r="IRS20"/>
      <c r="IRT20"/>
      <c r="IRU20"/>
      <c r="IRV20"/>
      <c r="IRW20" s="1"/>
      <c r="IRX20" s="1"/>
      <c r="IRY20" s="1"/>
      <c r="IRZ20" s="120"/>
      <c r="ISA20" s="120"/>
      <c r="ISB20" s="120"/>
      <c r="ISC20"/>
      <c r="ISD20"/>
      <c r="ISE20"/>
      <c r="ISF20"/>
      <c r="ISG20"/>
      <c r="ISH20"/>
      <c r="ISI20"/>
      <c r="ISJ20"/>
      <c r="ISK20"/>
      <c r="ISL20"/>
      <c r="ISM20"/>
      <c r="ISN20" s="1"/>
      <c r="ISO20" s="1"/>
      <c r="ISP20" s="1"/>
      <c r="ISQ20" s="120"/>
      <c r="ISR20" s="120"/>
      <c r="ISS20" s="120"/>
      <c r="IST20"/>
      <c r="ISU20"/>
      <c r="ISV20"/>
      <c r="ISW20"/>
      <c r="ISX20"/>
      <c r="ISY20"/>
      <c r="ISZ20"/>
      <c r="ITA20"/>
      <c r="ITB20"/>
      <c r="ITC20"/>
      <c r="ITD20"/>
      <c r="ITE20" s="1"/>
      <c r="ITF20" s="1"/>
      <c r="ITG20" s="1"/>
      <c r="ITH20" s="120"/>
      <c r="ITI20" s="120"/>
      <c r="ITJ20" s="120"/>
      <c r="ITK20"/>
      <c r="ITL20"/>
      <c r="ITM20"/>
      <c r="ITN20"/>
      <c r="ITO20"/>
      <c r="ITP20"/>
      <c r="ITQ20"/>
      <c r="ITR20"/>
      <c r="ITS20"/>
      <c r="ITT20"/>
      <c r="ITU20"/>
      <c r="ITV20" s="1"/>
      <c r="ITW20" s="1"/>
      <c r="ITX20" s="1"/>
      <c r="ITY20" s="120"/>
      <c r="ITZ20" s="120"/>
      <c r="IUA20" s="120"/>
      <c r="IUB20"/>
      <c r="IUC20"/>
      <c r="IUD20"/>
      <c r="IUE20"/>
      <c r="IUF20"/>
      <c r="IUG20"/>
      <c r="IUH20"/>
      <c r="IUI20"/>
      <c r="IUJ20"/>
      <c r="IUK20"/>
      <c r="IUL20"/>
      <c r="IUM20" s="1"/>
      <c r="IUN20" s="1"/>
      <c r="IUO20" s="1"/>
      <c r="IUP20" s="120"/>
      <c r="IUQ20" s="120"/>
      <c r="IUR20" s="120"/>
      <c r="IUS20"/>
      <c r="IUT20"/>
      <c r="IUU20"/>
      <c r="IUV20"/>
      <c r="IUW20"/>
      <c r="IUX20"/>
      <c r="IUY20"/>
      <c r="IUZ20"/>
      <c r="IVA20"/>
      <c r="IVB20"/>
      <c r="IVC20"/>
      <c r="IVD20" s="1"/>
      <c r="IVE20" s="1"/>
      <c r="IVF20" s="1"/>
      <c r="IVG20" s="120"/>
      <c r="IVH20" s="120"/>
      <c r="IVI20" s="120"/>
      <c r="IVJ20"/>
      <c r="IVK20"/>
      <c r="IVL20"/>
      <c r="IVM20"/>
      <c r="IVN20"/>
      <c r="IVO20"/>
      <c r="IVP20"/>
      <c r="IVQ20"/>
      <c r="IVR20"/>
      <c r="IVS20"/>
      <c r="IVT20"/>
      <c r="IVU20" s="1"/>
      <c r="IVV20" s="1"/>
      <c r="IVW20" s="1"/>
      <c r="IVX20" s="120"/>
      <c r="IVY20" s="120"/>
      <c r="IVZ20" s="120"/>
      <c r="IWA20"/>
      <c r="IWB20"/>
      <c r="IWC20"/>
      <c r="IWD20"/>
      <c r="IWE20"/>
      <c r="IWF20"/>
      <c r="IWG20"/>
      <c r="IWH20"/>
      <c r="IWI20"/>
      <c r="IWJ20"/>
      <c r="IWK20"/>
      <c r="IWL20" s="1"/>
      <c r="IWM20" s="1"/>
      <c r="IWN20" s="1"/>
      <c r="IWO20" s="120"/>
      <c r="IWP20" s="120"/>
      <c r="IWQ20" s="120"/>
      <c r="IWR20"/>
      <c r="IWS20"/>
      <c r="IWT20"/>
      <c r="IWU20"/>
      <c r="IWV20"/>
      <c r="IWW20"/>
      <c r="IWX20"/>
      <c r="IWY20"/>
      <c r="IWZ20"/>
      <c r="IXA20"/>
      <c r="IXB20"/>
      <c r="IXC20" s="1"/>
      <c r="IXD20" s="1"/>
      <c r="IXE20" s="1"/>
      <c r="IXF20" s="120"/>
      <c r="IXG20" s="120"/>
      <c r="IXH20" s="120"/>
      <c r="IXI20"/>
      <c r="IXJ20"/>
      <c r="IXK20"/>
      <c r="IXL20"/>
      <c r="IXM20"/>
      <c r="IXN20"/>
      <c r="IXO20"/>
      <c r="IXP20"/>
      <c r="IXQ20"/>
      <c r="IXR20"/>
      <c r="IXS20"/>
      <c r="IXT20" s="1"/>
      <c r="IXU20" s="1"/>
      <c r="IXV20" s="1"/>
      <c r="IXW20" s="120"/>
      <c r="IXX20" s="120"/>
      <c r="IXY20" s="120"/>
      <c r="IXZ20"/>
      <c r="IYA20"/>
      <c r="IYB20"/>
      <c r="IYC20"/>
      <c r="IYD20"/>
      <c r="IYE20"/>
      <c r="IYF20"/>
      <c r="IYG20"/>
      <c r="IYH20"/>
      <c r="IYI20"/>
      <c r="IYJ20"/>
      <c r="IYK20" s="1"/>
      <c r="IYL20" s="1"/>
      <c r="IYM20" s="1"/>
      <c r="IYN20" s="120"/>
      <c r="IYO20" s="120"/>
      <c r="IYP20" s="120"/>
      <c r="IYQ20"/>
      <c r="IYR20"/>
      <c r="IYS20"/>
      <c r="IYT20"/>
      <c r="IYU20"/>
      <c r="IYV20"/>
      <c r="IYW20"/>
      <c r="IYX20"/>
      <c r="IYY20"/>
      <c r="IYZ20"/>
      <c r="IZA20"/>
      <c r="IZB20" s="1"/>
      <c r="IZC20" s="1"/>
      <c r="IZD20" s="1"/>
      <c r="IZE20" s="120"/>
      <c r="IZF20" s="120"/>
      <c r="IZG20" s="120"/>
      <c r="IZH20"/>
      <c r="IZI20"/>
      <c r="IZJ20"/>
      <c r="IZK20"/>
      <c r="IZL20"/>
      <c r="IZM20"/>
      <c r="IZN20"/>
      <c r="IZO20"/>
      <c r="IZP20"/>
      <c r="IZQ20"/>
      <c r="IZR20"/>
      <c r="IZS20" s="1"/>
      <c r="IZT20" s="1"/>
      <c r="IZU20" s="1"/>
      <c r="IZV20" s="120"/>
      <c r="IZW20" s="120"/>
      <c r="IZX20" s="120"/>
      <c r="IZY20"/>
      <c r="IZZ20"/>
      <c r="JAA20"/>
      <c r="JAB20"/>
      <c r="JAC20"/>
      <c r="JAD20"/>
      <c r="JAE20"/>
      <c r="JAF20"/>
      <c r="JAG20"/>
      <c r="JAH20"/>
      <c r="JAI20"/>
      <c r="JAJ20" s="1"/>
      <c r="JAK20" s="1"/>
      <c r="JAL20" s="1"/>
      <c r="JAM20" s="120"/>
      <c r="JAN20" s="120"/>
      <c r="JAO20" s="120"/>
      <c r="JAP20"/>
      <c r="JAQ20"/>
      <c r="JAR20"/>
      <c r="JAS20"/>
      <c r="JAT20"/>
      <c r="JAU20"/>
      <c r="JAV20"/>
      <c r="JAW20"/>
      <c r="JAX20"/>
      <c r="JAY20"/>
      <c r="JAZ20"/>
      <c r="JBA20" s="1"/>
      <c r="JBB20" s="1"/>
      <c r="JBC20" s="1"/>
      <c r="JBD20" s="120"/>
      <c r="JBE20" s="120"/>
      <c r="JBF20" s="120"/>
      <c r="JBG20"/>
      <c r="JBH20"/>
      <c r="JBI20"/>
      <c r="JBJ20"/>
      <c r="JBK20"/>
      <c r="JBL20"/>
      <c r="JBM20"/>
      <c r="JBN20"/>
      <c r="JBO20"/>
      <c r="JBP20"/>
      <c r="JBQ20"/>
      <c r="JBR20" s="1"/>
      <c r="JBS20" s="1"/>
      <c r="JBT20" s="1"/>
      <c r="JBU20" s="120"/>
      <c r="JBV20" s="120"/>
      <c r="JBW20" s="120"/>
      <c r="JBX20"/>
      <c r="JBY20"/>
      <c r="JBZ20"/>
      <c r="JCA20"/>
      <c r="JCB20"/>
      <c r="JCC20"/>
      <c r="JCD20"/>
      <c r="JCE20"/>
      <c r="JCF20"/>
      <c r="JCG20"/>
      <c r="JCH20"/>
      <c r="JCI20" s="1"/>
      <c r="JCJ20" s="1"/>
      <c r="JCK20" s="1"/>
      <c r="JCL20" s="120"/>
      <c r="JCM20" s="120"/>
      <c r="JCN20" s="120"/>
      <c r="JCO20"/>
      <c r="JCP20"/>
      <c r="JCQ20"/>
      <c r="JCR20"/>
      <c r="JCS20"/>
      <c r="JCT20"/>
      <c r="JCU20"/>
      <c r="JCV20"/>
      <c r="JCW20"/>
      <c r="JCX20"/>
      <c r="JCY20"/>
      <c r="JCZ20" s="1"/>
      <c r="JDA20" s="1"/>
      <c r="JDB20" s="1"/>
      <c r="JDC20" s="120"/>
      <c r="JDD20" s="120"/>
      <c r="JDE20" s="120"/>
      <c r="JDF20"/>
      <c r="JDG20"/>
      <c r="JDH20"/>
      <c r="JDI20"/>
      <c r="JDJ20"/>
      <c r="JDK20"/>
      <c r="JDL20"/>
      <c r="JDM20"/>
      <c r="JDN20"/>
      <c r="JDO20"/>
      <c r="JDP20"/>
      <c r="JDQ20" s="1"/>
      <c r="JDR20" s="1"/>
      <c r="JDS20" s="1"/>
      <c r="JDT20" s="120"/>
      <c r="JDU20" s="120"/>
      <c r="JDV20" s="120"/>
      <c r="JDW20"/>
      <c r="JDX20"/>
      <c r="JDY20"/>
      <c r="JDZ20"/>
      <c r="JEA20"/>
      <c r="JEB20"/>
      <c r="JEC20"/>
      <c r="JED20"/>
      <c r="JEE20"/>
      <c r="JEF20"/>
      <c r="JEG20"/>
      <c r="JEH20" s="1"/>
      <c r="JEI20" s="1"/>
      <c r="JEJ20" s="1"/>
      <c r="JEK20" s="120"/>
      <c r="JEL20" s="120"/>
      <c r="JEM20" s="120"/>
      <c r="JEN20"/>
      <c r="JEO20"/>
      <c r="JEP20"/>
      <c r="JEQ20"/>
      <c r="JER20"/>
      <c r="JES20"/>
      <c r="JET20"/>
      <c r="JEU20"/>
      <c r="JEV20"/>
      <c r="JEW20"/>
      <c r="JEX20"/>
      <c r="JEY20" s="1"/>
      <c r="JEZ20" s="1"/>
      <c r="JFA20" s="1"/>
      <c r="JFB20" s="120"/>
      <c r="JFC20" s="120"/>
      <c r="JFD20" s="120"/>
      <c r="JFE20"/>
      <c r="JFF20"/>
      <c r="JFG20"/>
      <c r="JFH20"/>
      <c r="JFI20"/>
      <c r="JFJ20"/>
      <c r="JFK20"/>
      <c r="JFL20"/>
      <c r="JFM20"/>
      <c r="JFN20"/>
      <c r="JFO20"/>
      <c r="JFP20" s="1"/>
      <c r="JFQ20" s="1"/>
      <c r="JFR20" s="1"/>
      <c r="JFS20" s="120"/>
      <c r="JFT20" s="120"/>
      <c r="JFU20" s="120"/>
      <c r="JFV20"/>
      <c r="JFW20"/>
      <c r="JFX20"/>
      <c r="JFY20"/>
      <c r="JFZ20"/>
      <c r="JGA20"/>
      <c r="JGB20"/>
      <c r="JGC20"/>
      <c r="JGD20"/>
      <c r="JGE20"/>
      <c r="JGF20"/>
      <c r="JGG20" s="1"/>
      <c r="JGH20" s="1"/>
      <c r="JGI20" s="1"/>
      <c r="JGJ20" s="120"/>
      <c r="JGK20" s="120"/>
      <c r="JGL20" s="120"/>
      <c r="JGM20"/>
      <c r="JGN20"/>
      <c r="JGO20"/>
      <c r="JGP20"/>
      <c r="JGQ20"/>
      <c r="JGR20"/>
      <c r="JGS20"/>
      <c r="JGT20"/>
      <c r="JGU20"/>
      <c r="JGV20"/>
      <c r="JGW20"/>
      <c r="JGX20" s="1"/>
      <c r="JGY20" s="1"/>
      <c r="JGZ20" s="1"/>
      <c r="JHA20" s="120"/>
      <c r="JHB20" s="120"/>
      <c r="JHC20" s="120"/>
      <c r="JHD20"/>
      <c r="JHE20"/>
      <c r="JHF20"/>
      <c r="JHG20"/>
      <c r="JHH20"/>
      <c r="JHI20"/>
      <c r="JHJ20"/>
      <c r="JHK20"/>
      <c r="JHL20"/>
      <c r="JHM20"/>
      <c r="JHN20"/>
      <c r="JHO20" s="1"/>
      <c r="JHP20" s="1"/>
      <c r="JHQ20" s="1"/>
      <c r="JHR20" s="120"/>
      <c r="JHS20" s="120"/>
      <c r="JHT20" s="120"/>
      <c r="JHU20"/>
      <c r="JHV20"/>
      <c r="JHW20"/>
      <c r="JHX20"/>
      <c r="JHY20"/>
      <c r="JHZ20"/>
      <c r="JIA20"/>
      <c r="JIB20"/>
      <c r="JIC20"/>
      <c r="JID20"/>
      <c r="JIE20"/>
      <c r="JIF20" s="1"/>
      <c r="JIG20" s="1"/>
      <c r="JIH20" s="1"/>
      <c r="JII20" s="120"/>
      <c r="JIJ20" s="120"/>
      <c r="JIK20" s="120"/>
      <c r="JIL20"/>
      <c r="JIM20"/>
      <c r="JIN20"/>
      <c r="JIO20"/>
      <c r="JIP20"/>
      <c r="JIQ20"/>
      <c r="JIR20"/>
      <c r="JIS20"/>
      <c r="JIT20"/>
      <c r="JIU20"/>
      <c r="JIV20"/>
      <c r="JIW20" s="1"/>
      <c r="JIX20" s="1"/>
      <c r="JIY20" s="1"/>
      <c r="JIZ20" s="120"/>
      <c r="JJA20" s="120"/>
      <c r="JJB20" s="120"/>
      <c r="JJC20"/>
      <c r="JJD20"/>
      <c r="JJE20"/>
      <c r="JJF20"/>
      <c r="JJG20"/>
      <c r="JJH20"/>
      <c r="JJI20"/>
      <c r="JJJ20"/>
      <c r="JJK20"/>
      <c r="JJL20"/>
      <c r="JJM20"/>
      <c r="JJN20" s="1"/>
      <c r="JJO20" s="1"/>
      <c r="JJP20" s="1"/>
      <c r="JJQ20" s="120"/>
      <c r="JJR20" s="120"/>
      <c r="JJS20" s="120"/>
      <c r="JJT20"/>
      <c r="JJU20"/>
      <c r="JJV20"/>
      <c r="JJW20"/>
      <c r="JJX20"/>
      <c r="JJY20"/>
      <c r="JJZ20"/>
      <c r="JKA20"/>
      <c r="JKB20"/>
      <c r="JKC20"/>
      <c r="JKD20"/>
      <c r="JKE20" s="1"/>
      <c r="JKF20" s="1"/>
      <c r="JKG20" s="1"/>
      <c r="JKH20" s="120"/>
      <c r="JKI20" s="120"/>
      <c r="JKJ20" s="120"/>
      <c r="JKK20"/>
      <c r="JKL20"/>
      <c r="JKM20"/>
      <c r="JKN20"/>
      <c r="JKO20"/>
      <c r="JKP20"/>
      <c r="JKQ20"/>
      <c r="JKR20"/>
      <c r="JKS20"/>
      <c r="JKT20"/>
      <c r="JKU20"/>
      <c r="JKV20" s="1"/>
      <c r="JKW20" s="1"/>
      <c r="JKX20" s="1"/>
      <c r="JKY20" s="120"/>
      <c r="JKZ20" s="120"/>
      <c r="JLA20" s="120"/>
      <c r="JLB20"/>
      <c r="JLC20"/>
      <c r="JLD20"/>
      <c r="JLE20"/>
      <c r="JLF20"/>
      <c r="JLG20"/>
      <c r="JLH20"/>
      <c r="JLI20"/>
      <c r="JLJ20"/>
      <c r="JLK20"/>
      <c r="JLL20"/>
      <c r="JLM20" s="1"/>
      <c r="JLN20" s="1"/>
      <c r="JLO20" s="1"/>
      <c r="JLP20" s="120"/>
      <c r="JLQ20" s="120"/>
      <c r="JLR20" s="120"/>
      <c r="JLS20"/>
      <c r="JLT20"/>
      <c r="JLU20"/>
      <c r="JLV20"/>
      <c r="JLW20"/>
      <c r="JLX20"/>
      <c r="JLY20"/>
      <c r="JLZ20"/>
      <c r="JMA20"/>
      <c r="JMB20"/>
      <c r="JMC20"/>
      <c r="JMD20" s="1"/>
      <c r="JME20" s="1"/>
      <c r="JMF20" s="1"/>
      <c r="JMG20" s="120"/>
      <c r="JMH20" s="120"/>
      <c r="JMI20" s="120"/>
      <c r="JMJ20"/>
      <c r="JMK20"/>
      <c r="JML20"/>
      <c r="JMM20"/>
      <c r="JMN20"/>
      <c r="JMO20"/>
      <c r="JMP20"/>
      <c r="JMQ20"/>
      <c r="JMR20"/>
      <c r="JMS20"/>
      <c r="JMT20"/>
      <c r="JMU20" s="1"/>
      <c r="JMV20" s="1"/>
      <c r="JMW20" s="1"/>
      <c r="JMX20" s="120"/>
      <c r="JMY20" s="120"/>
      <c r="JMZ20" s="120"/>
      <c r="JNA20"/>
      <c r="JNB20"/>
      <c r="JNC20"/>
      <c r="JND20"/>
      <c r="JNE20"/>
      <c r="JNF20"/>
      <c r="JNG20"/>
      <c r="JNH20"/>
      <c r="JNI20"/>
      <c r="JNJ20"/>
      <c r="JNK20"/>
      <c r="JNL20" s="1"/>
      <c r="JNM20" s="1"/>
      <c r="JNN20" s="1"/>
      <c r="JNO20" s="120"/>
      <c r="JNP20" s="120"/>
      <c r="JNQ20" s="120"/>
      <c r="JNR20"/>
      <c r="JNS20"/>
      <c r="JNT20"/>
      <c r="JNU20"/>
      <c r="JNV20"/>
      <c r="JNW20"/>
      <c r="JNX20"/>
      <c r="JNY20"/>
      <c r="JNZ20"/>
      <c r="JOA20"/>
      <c r="JOB20"/>
      <c r="JOC20" s="1"/>
      <c r="JOD20" s="1"/>
      <c r="JOE20" s="1"/>
      <c r="JOF20" s="120"/>
      <c r="JOG20" s="120"/>
      <c r="JOH20" s="120"/>
      <c r="JOI20"/>
      <c r="JOJ20"/>
      <c r="JOK20"/>
      <c r="JOL20"/>
      <c r="JOM20"/>
      <c r="JON20"/>
      <c r="JOO20"/>
      <c r="JOP20"/>
      <c r="JOQ20"/>
      <c r="JOR20"/>
      <c r="JOS20"/>
      <c r="JOT20" s="1"/>
      <c r="JOU20" s="1"/>
      <c r="JOV20" s="1"/>
      <c r="JOW20" s="120"/>
      <c r="JOX20" s="120"/>
      <c r="JOY20" s="120"/>
      <c r="JOZ20"/>
      <c r="JPA20"/>
      <c r="JPB20"/>
      <c r="JPC20"/>
      <c r="JPD20"/>
      <c r="JPE20"/>
      <c r="JPF20"/>
      <c r="JPG20"/>
      <c r="JPH20"/>
      <c r="JPI20"/>
      <c r="JPJ20"/>
      <c r="JPK20" s="1"/>
      <c r="JPL20" s="1"/>
      <c r="JPM20" s="1"/>
      <c r="JPN20" s="120"/>
      <c r="JPO20" s="120"/>
      <c r="JPP20" s="120"/>
      <c r="JPQ20"/>
      <c r="JPR20"/>
      <c r="JPS20"/>
      <c r="JPT20"/>
      <c r="JPU20"/>
      <c r="JPV20"/>
      <c r="JPW20"/>
      <c r="JPX20"/>
      <c r="JPY20"/>
      <c r="JPZ20"/>
      <c r="JQA20"/>
      <c r="JQB20" s="1"/>
      <c r="JQC20" s="1"/>
      <c r="JQD20" s="1"/>
      <c r="JQE20" s="120"/>
      <c r="JQF20" s="120"/>
      <c r="JQG20" s="120"/>
      <c r="JQH20"/>
      <c r="JQI20"/>
      <c r="JQJ20"/>
      <c r="JQK20"/>
      <c r="JQL20"/>
      <c r="JQM20"/>
      <c r="JQN20"/>
      <c r="JQO20"/>
      <c r="JQP20"/>
      <c r="JQQ20"/>
      <c r="JQR20"/>
      <c r="JQS20" s="1"/>
      <c r="JQT20" s="1"/>
      <c r="JQU20" s="1"/>
      <c r="JQV20" s="120"/>
      <c r="JQW20" s="120"/>
      <c r="JQX20" s="120"/>
      <c r="JQY20"/>
      <c r="JQZ20"/>
      <c r="JRA20"/>
      <c r="JRB20"/>
      <c r="JRC20"/>
      <c r="JRD20"/>
      <c r="JRE20"/>
      <c r="JRF20"/>
      <c r="JRG20"/>
      <c r="JRH20"/>
      <c r="JRI20"/>
      <c r="JRJ20" s="1"/>
      <c r="JRK20" s="1"/>
      <c r="JRL20" s="1"/>
      <c r="JRM20" s="120"/>
      <c r="JRN20" s="120"/>
      <c r="JRO20" s="120"/>
      <c r="JRP20"/>
      <c r="JRQ20"/>
      <c r="JRR20"/>
      <c r="JRS20"/>
      <c r="JRT20"/>
      <c r="JRU20"/>
      <c r="JRV20"/>
      <c r="JRW20"/>
      <c r="JRX20"/>
      <c r="JRY20"/>
      <c r="JRZ20"/>
      <c r="JSA20" s="1"/>
      <c r="JSB20" s="1"/>
      <c r="JSC20" s="1"/>
      <c r="JSD20" s="120"/>
      <c r="JSE20" s="120"/>
      <c r="JSF20" s="120"/>
      <c r="JSG20"/>
      <c r="JSH20"/>
      <c r="JSI20"/>
      <c r="JSJ20"/>
      <c r="JSK20"/>
      <c r="JSL20"/>
      <c r="JSM20"/>
      <c r="JSN20"/>
      <c r="JSO20"/>
      <c r="JSP20"/>
      <c r="JSQ20"/>
      <c r="JSR20" s="1"/>
      <c r="JSS20" s="1"/>
      <c r="JST20" s="1"/>
      <c r="JSU20" s="120"/>
      <c r="JSV20" s="120"/>
      <c r="JSW20" s="120"/>
      <c r="JSX20"/>
      <c r="JSY20"/>
      <c r="JSZ20"/>
      <c r="JTA20"/>
      <c r="JTB20"/>
      <c r="JTC20"/>
      <c r="JTD20"/>
      <c r="JTE20"/>
      <c r="JTF20"/>
      <c r="JTG20"/>
      <c r="JTH20"/>
      <c r="JTI20" s="1"/>
      <c r="JTJ20" s="1"/>
      <c r="JTK20" s="1"/>
      <c r="JTL20" s="120"/>
      <c r="JTM20" s="120"/>
      <c r="JTN20" s="120"/>
      <c r="JTO20"/>
      <c r="JTP20"/>
      <c r="JTQ20"/>
      <c r="JTR20"/>
      <c r="JTS20"/>
      <c r="JTT20"/>
      <c r="JTU20"/>
      <c r="JTV20"/>
      <c r="JTW20"/>
      <c r="JTX20"/>
      <c r="JTY20"/>
      <c r="JTZ20" s="1"/>
      <c r="JUA20" s="1"/>
      <c r="JUB20" s="1"/>
      <c r="JUC20" s="120"/>
      <c r="JUD20" s="120"/>
      <c r="JUE20" s="120"/>
      <c r="JUF20"/>
      <c r="JUG20"/>
      <c r="JUH20"/>
      <c r="JUI20"/>
      <c r="JUJ20"/>
      <c r="JUK20"/>
      <c r="JUL20"/>
      <c r="JUM20"/>
      <c r="JUN20"/>
      <c r="JUO20"/>
      <c r="JUP20"/>
      <c r="JUQ20" s="1"/>
      <c r="JUR20" s="1"/>
      <c r="JUS20" s="1"/>
      <c r="JUT20" s="120"/>
      <c r="JUU20" s="120"/>
      <c r="JUV20" s="120"/>
      <c r="JUW20"/>
      <c r="JUX20"/>
      <c r="JUY20"/>
      <c r="JUZ20"/>
      <c r="JVA20"/>
      <c r="JVB20"/>
      <c r="JVC20"/>
      <c r="JVD20"/>
      <c r="JVE20"/>
      <c r="JVF20"/>
      <c r="JVG20"/>
      <c r="JVH20" s="1"/>
      <c r="JVI20" s="1"/>
      <c r="JVJ20" s="1"/>
      <c r="JVK20" s="120"/>
      <c r="JVL20" s="120"/>
      <c r="JVM20" s="120"/>
      <c r="JVN20"/>
      <c r="JVO20"/>
      <c r="JVP20"/>
      <c r="JVQ20"/>
      <c r="JVR20"/>
      <c r="JVS20"/>
      <c r="JVT20"/>
      <c r="JVU20"/>
      <c r="JVV20"/>
      <c r="JVW20"/>
      <c r="JVX20"/>
      <c r="JVY20" s="1"/>
      <c r="JVZ20" s="1"/>
      <c r="JWA20" s="1"/>
      <c r="JWB20" s="120"/>
      <c r="JWC20" s="120"/>
      <c r="JWD20" s="120"/>
      <c r="JWE20"/>
      <c r="JWF20"/>
      <c r="JWG20"/>
      <c r="JWH20"/>
      <c r="JWI20"/>
      <c r="JWJ20"/>
      <c r="JWK20"/>
      <c r="JWL20"/>
      <c r="JWM20"/>
      <c r="JWN20"/>
      <c r="JWO20"/>
      <c r="JWP20" s="1"/>
      <c r="JWQ20" s="1"/>
      <c r="JWR20" s="1"/>
      <c r="JWS20" s="120"/>
      <c r="JWT20" s="120"/>
      <c r="JWU20" s="120"/>
      <c r="JWV20"/>
      <c r="JWW20"/>
      <c r="JWX20"/>
      <c r="JWY20"/>
      <c r="JWZ20"/>
      <c r="JXA20"/>
      <c r="JXB20"/>
      <c r="JXC20"/>
      <c r="JXD20"/>
      <c r="JXE20"/>
      <c r="JXF20"/>
      <c r="JXG20" s="1"/>
      <c r="JXH20" s="1"/>
      <c r="JXI20" s="1"/>
      <c r="JXJ20" s="120"/>
      <c r="JXK20" s="120"/>
      <c r="JXL20" s="120"/>
      <c r="JXM20"/>
      <c r="JXN20"/>
      <c r="JXO20"/>
      <c r="JXP20"/>
      <c r="JXQ20"/>
      <c r="JXR20"/>
      <c r="JXS20"/>
      <c r="JXT20"/>
      <c r="JXU20"/>
      <c r="JXV20"/>
      <c r="JXW20"/>
      <c r="JXX20" s="1"/>
      <c r="JXY20" s="1"/>
      <c r="JXZ20" s="1"/>
      <c r="JYA20" s="120"/>
      <c r="JYB20" s="120"/>
      <c r="JYC20" s="120"/>
      <c r="JYD20"/>
      <c r="JYE20"/>
      <c r="JYF20"/>
      <c r="JYG20"/>
      <c r="JYH20"/>
      <c r="JYI20"/>
      <c r="JYJ20"/>
      <c r="JYK20"/>
      <c r="JYL20"/>
      <c r="JYM20"/>
      <c r="JYN20"/>
      <c r="JYO20" s="1"/>
      <c r="JYP20" s="1"/>
      <c r="JYQ20" s="1"/>
      <c r="JYR20" s="120"/>
      <c r="JYS20" s="120"/>
      <c r="JYT20" s="120"/>
      <c r="JYU20"/>
      <c r="JYV20"/>
      <c r="JYW20"/>
      <c r="JYX20"/>
      <c r="JYY20"/>
      <c r="JYZ20"/>
      <c r="JZA20"/>
      <c r="JZB20"/>
      <c r="JZC20"/>
      <c r="JZD20"/>
      <c r="JZE20"/>
      <c r="JZF20" s="1"/>
      <c r="JZG20" s="1"/>
      <c r="JZH20" s="1"/>
      <c r="JZI20" s="120"/>
      <c r="JZJ20" s="120"/>
      <c r="JZK20" s="120"/>
      <c r="JZL20"/>
      <c r="JZM20"/>
      <c r="JZN20"/>
      <c r="JZO20"/>
      <c r="JZP20"/>
      <c r="JZQ20"/>
      <c r="JZR20"/>
      <c r="JZS20"/>
      <c r="JZT20"/>
      <c r="JZU20"/>
      <c r="JZV20"/>
      <c r="JZW20" s="1"/>
      <c r="JZX20" s="1"/>
      <c r="JZY20" s="1"/>
      <c r="JZZ20" s="120"/>
      <c r="KAA20" s="120"/>
      <c r="KAB20" s="120"/>
      <c r="KAC20"/>
      <c r="KAD20"/>
      <c r="KAE20"/>
      <c r="KAF20"/>
      <c r="KAG20"/>
      <c r="KAH20"/>
      <c r="KAI20"/>
      <c r="KAJ20"/>
      <c r="KAK20"/>
      <c r="KAL20"/>
      <c r="KAM20"/>
      <c r="KAN20" s="1"/>
      <c r="KAO20" s="1"/>
      <c r="KAP20" s="1"/>
      <c r="KAQ20" s="120"/>
      <c r="KAR20" s="120"/>
      <c r="KAS20" s="120"/>
      <c r="KAT20"/>
      <c r="KAU20"/>
      <c r="KAV20"/>
      <c r="KAW20"/>
      <c r="KAX20"/>
      <c r="KAY20"/>
      <c r="KAZ20"/>
      <c r="KBA20"/>
      <c r="KBB20"/>
      <c r="KBC20"/>
      <c r="KBD20"/>
      <c r="KBE20" s="1"/>
      <c r="KBF20" s="1"/>
      <c r="KBG20" s="1"/>
      <c r="KBH20" s="120"/>
      <c r="KBI20" s="120"/>
      <c r="KBJ20" s="120"/>
      <c r="KBK20"/>
      <c r="KBL20"/>
      <c r="KBM20"/>
      <c r="KBN20"/>
      <c r="KBO20"/>
      <c r="KBP20"/>
      <c r="KBQ20"/>
      <c r="KBR20"/>
      <c r="KBS20"/>
      <c r="KBT20"/>
      <c r="KBU20"/>
      <c r="KBV20" s="1"/>
      <c r="KBW20" s="1"/>
      <c r="KBX20" s="1"/>
      <c r="KBY20" s="120"/>
      <c r="KBZ20" s="120"/>
      <c r="KCA20" s="120"/>
      <c r="KCB20"/>
      <c r="KCC20"/>
      <c r="KCD20"/>
      <c r="KCE20"/>
      <c r="KCF20"/>
      <c r="KCG20"/>
      <c r="KCH20"/>
      <c r="KCI20"/>
      <c r="KCJ20"/>
      <c r="KCK20"/>
      <c r="KCL20"/>
      <c r="KCM20" s="1"/>
      <c r="KCN20" s="1"/>
      <c r="KCO20" s="1"/>
      <c r="KCP20" s="120"/>
      <c r="KCQ20" s="120"/>
      <c r="KCR20" s="120"/>
      <c r="KCS20"/>
      <c r="KCT20"/>
      <c r="KCU20"/>
      <c r="KCV20"/>
      <c r="KCW20"/>
      <c r="KCX20"/>
      <c r="KCY20"/>
      <c r="KCZ20"/>
      <c r="KDA20"/>
      <c r="KDB20"/>
      <c r="KDC20"/>
      <c r="KDD20" s="1"/>
      <c r="KDE20" s="1"/>
      <c r="KDF20" s="1"/>
      <c r="KDG20" s="120"/>
      <c r="KDH20" s="120"/>
      <c r="KDI20" s="120"/>
      <c r="KDJ20"/>
      <c r="KDK20"/>
      <c r="KDL20"/>
      <c r="KDM20"/>
      <c r="KDN20"/>
      <c r="KDO20"/>
      <c r="KDP20"/>
      <c r="KDQ20"/>
      <c r="KDR20"/>
      <c r="KDS20"/>
      <c r="KDT20"/>
      <c r="KDU20" s="1"/>
      <c r="KDV20" s="1"/>
      <c r="KDW20" s="1"/>
      <c r="KDX20" s="120"/>
      <c r="KDY20" s="120"/>
      <c r="KDZ20" s="120"/>
      <c r="KEA20"/>
      <c r="KEB20"/>
      <c r="KEC20"/>
      <c r="KED20"/>
      <c r="KEE20"/>
      <c r="KEF20"/>
      <c r="KEG20"/>
      <c r="KEH20"/>
      <c r="KEI20"/>
      <c r="KEJ20"/>
      <c r="KEK20"/>
      <c r="KEL20" s="1"/>
      <c r="KEM20" s="1"/>
      <c r="KEN20" s="1"/>
      <c r="KEO20" s="120"/>
      <c r="KEP20" s="120"/>
      <c r="KEQ20" s="120"/>
      <c r="KER20"/>
      <c r="KES20"/>
      <c r="KET20"/>
      <c r="KEU20"/>
      <c r="KEV20"/>
      <c r="KEW20"/>
      <c r="KEX20"/>
      <c r="KEY20"/>
      <c r="KEZ20"/>
      <c r="KFA20"/>
      <c r="KFB20"/>
      <c r="KFC20" s="1"/>
      <c r="KFD20" s="1"/>
      <c r="KFE20" s="1"/>
      <c r="KFF20" s="120"/>
      <c r="KFG20" s="120"/>
      <c r="KFH20" s="120"/>
      <c r="KFI20"/>
      <c r="KFJ20"/>
      <c r="KFK20"/>
      <c r="KFL20"/>
      <c r="KFM20"/>
      <c r="KFN20"/>
      <c r="KFO20"/>
      <c r="KFP20"/>
      <c r="KFQ20"/>
      <c r="KFR20"/>
      <c r="KFS20"/>
      <c r="KFT20" s="1"/>
      <c r="KFU20" s="1"/>
      <c r="KFV20" s="1"/>
      <c r="KFW20" s="120"/>
      <c r="KFX20" s="120"/>
      <c r="KFY20" s="120"/>
      <c r="KFZ20"/>
      <c r="KGA20"/>
      <c r="KGB20"/>
      <c r="KGC20"/>
      <c r="KGD20"/>
      <c r="KGE20"/>
      <c r="KGF20"/>
      <c r="KGG20"/>
      <c r="KGH20"/>
      <c r="KGI20"/>
      <c r="KGJ20"/>
      <c r="KGK20" s="1"/>
      <c r="KGL20" s="1"/>
      <c r="KGM20" s="1"/>
      <c r="KGN20" s="120"/>
      <c r="KGO20" s="120"/>
      <c r="KGP20" s="120"/>
      <c r="KGQ20"/>
      <c r="KGR20"/>
      <c r="KGS20"/>
      <c r="KGT20"/>
      <c r="KGU20"/>
      <c r="KGV20"/>
      <c r="KGW20"/>
      <c r="KGX20"/>
      <c r="KGY20"/>
      <c r="KGZ20"/>
      <c r="KHA20"/>
      <c r="KHB20" s="1"/>
      <c r="KHC20" s="1"/>
      <c r="KHD20" s="1"/>
      <c r="KHE20" s="120"/>
      <c r="KHF20" s="120"/>
      <c r="KHG20" s="120"/>
      <c r="KHH20"/>
      <c r="KHI20"/>
      <c r="KHJ20"/>
      <c r="KHK20"/>
      <c r="KHL20"/>
      <c r="KHM20"/>
      <c r="KHN20"/>
      <c r="KHO20"/>
      <c r="KHP20"/>
      <c r="KHQ20"/>
      <c r="KHR20"/>
      <c r="KHS20" s="1"/>
      <c r="KHT20" s="1"/>
      <c r="KHU20" s="1"/>
      <c r="KHV20" s="120"/>
      <c r="KHW20" s="120"/>
      <c r="KHX20" s="120"/>
      <c r="KHY20"/>
      <c r="KHZ20"/>
      <c r="KIA20"/>
      <c r="KIB20"/>
      <c r="KIC20"/>
      <c r="KID20"/>
      <c r="KIE20"/>
      <c r="KIF20"/>
      <c r="KIG20"/>
      <c r="KIH20"/>
      <c r="KII20"/>
      <c r="KIJ20" s="1"/>
      <c r="KIK20" s="1"/>
      <c r="KIL20" s="1"/>
      <c r="KIM20" s="120"/>
      <c r="KIN20" s="120"/>
      <c r="KIO20" s="120"/>
      <c r="KIP20"/>
      <c r="KIQ20"/>
      <c r="KIR20"/>
      <c r="KIS20"/>
      <c r="KIT20"/>
      <c r="KIU20"/>
      <c r="KIV20"/>
      <c r="KIW20"/>
      <c r="KIX20"/>
      <c r="KIY20"/>
      <c r="KIZ20"/>
      <c r="KJA20" s="1"/>
      <c r="KJB20" s="1"/>
      <c r="KJC20" s="1"/>
      <c r="KJD20" s="120"/>
      <c r="KJE20" s="120"/>
      <c r="KJF20" s="120"/>
      <c r="KJG20"/>
      <c r="KJH20"/>
      <c r="KJI20"/>
      <c r="KJJ20"/>
      <c r="KJK20"/>
      <c r="KJL20"/>
      <c r="KJM20"/>
      <c r="KJN20"/>
      <c r="KJO20"/>
      <c r="KJP20"/>
      <c r="KJQ20"/>
      <c r="KJR20" s="1"/>
      <c r="KJS20" s="1"/>
      <c r="KJT20" s="1"/>
      <c r="KJU20" s="120"/>
      <c r="KJV20" s="120"/>
      <c r="KJW20" s="120"/>
      <c r="KJX20"/>
      <c r="KJY20"/>
      <c r="KJZ20"/>
      <c r="KKA20"/>
      <c r="KKB20"/>
      <c r="KKC20"/>
      <c r="KKD20"/>
      <c r="KKE20"/>
      <c r="KKF20"/>
      <c r="KKG20"/>
      <c r="KKH20"/>
      <c r="KKI20" s="1"/>
      <c r="KKJ20" s="1"/>
      <c r="KKK20" s="1"/>
      <c r="KKL20" s="120"/>
      <c r="KKM20" s="120"/>
      <c r="KKN20" s="120"/>
      <c r="KKO20"/>
      <c r="KKP20"/>
      <c r="KKQ20"/>
      <c r="KKR20"/>
      <c r="KKS20"/>
      <c r="KKT20"/>
      <c r="KKU20"/>
      <c r="KKV20"/>
      <c r="KKW20"/>
      <c r="KKX20"/>
      <c r="KKY20"/>
      <c r="KKZ20" s="1"/>
      <c r="KLA20" s="1"/>
      <c r="KLB20" s="1"/>
      <c r="KLC20" s="120"/>
      <c r="KLD20" s="120"/>
      <c r="KLE20" s="120"/>
      <c r="KLF20"/>
      <c r="KLG20"/>
      <c r="KLH20"/>
      <c r="KLI20"/>
      <c r="KLJ20"/>
      <c r="KLK20"/>
      <c r="KLL20"/>
      <c r="KLM20"/>
      <c r="KLN20"/>
      <c r="KLO20"/>
      <c r="KLP20"/>
      <c r="KLQ20" s="1"/>
      <c r="KLR20" s="1"/>
      <c r="KLS20" s="1"/>
      <c r="KLT20" s="120"/>
      <c r="KLU20" s="120"/>
      <c r="KLV20" s="120"/>
      <c r="KLW20"/>
      <c r="KLX20"/>
      <c r="KLY20"/>
      <c r="KLZ20"/>
      <c r="KMA20"/>
      <c r="KMB20"/>
      <c r="KMC20"/>
      <c r="KMD20"/>
      <c r="KME20"/>
      <c r="KMF20"/>
      <c r="KMG20"/>
      <c r="KMH20" s="1"/>
      <c r="KMI20" s="1"/>
      <c r="KMJ20" s="1"/>
      <c r="KMK20" s="120"/>
      <c r="KML20" s="120"/>
      <c r="KMM20" s="120"/>
      <c r="KMN20"/>
      <c r="KMO20"/>
      <c r="KMP20"/>
      <c r="KMQ20"/>
      <c r="KMR20"/>
      <c r="KMS20"/>
      <c r="KMT20"/>
      <c r="KMU20"/>
      <c r="KMV20"/>
      <c r="KMW20"/>
      <c r="KMX20"/>
      <c r="KMY20" s="1"/>
      <c r="KMZ20" s="1"/>
      <c r="KNA20" s="1"/>
      <c r="KNB20" s="120"/>
      <c r="KNC20" s="120"/>
      <c r="KND20" s="120"/>
      <c r="KNE20"/>
      <c r="KNF20"/>
      <c r="KNG20"/>
      <c r="KNH20"/>
      <c r="KNI20"/>
      <c r="KNJ20"/>
      <c r="KNK20"/>
      <c r="KNL20"/>
      <c r="KNM20"/>
      <c r="KNN20"/>
      <c r="KNO20"/>
      <c r="KNP20" s="1"/>
      <c r="KNQ20" s="1"/>
      <c r="KNR20" s="1"/>
      <c r="KNS20" s="120"/>
      <c r="KNT20" s="120"/>
      <c r="KNU20" s="120"/>
      <c r="KNV20"/>
      <c r="KNW20"/>
      <c r="KNX20"/>
      <c r="KNY20"/>
      <c r="KNZ20"/>
      <c r="KOA20"/>
      <c r="KOB20"/>
      <c r="KOC20"/>
      <c r="KOD20"/>
      <c r="KOE20"/>
      <c r="KOF20"/>
      <c r="KOG20" s="1"/>
      <c r="KOH20" s="1"/>
      <c r="KOI20" s="1"/>
      <c r="KOJ20" s="120"/>
      <c r="KOK20" s="120"/>
      <c r="KOL20" s="120"/>
      <c r="KOM20"/>
      <c r="KON20"/>
      <c r="KOO20"/>
      <c r="KOP20"/>
      <c r="KOQ20"/>
      <c r="KOR20"/>
      <c r="KOS20"/>
      <c r="KOT20"/>
      <c r="KOU20"/>
      <c r="KOV20"/>
      <c r="KOW20"/>
      <c r="KOX20" s="1"/>
      <c r="KOY20" s="1"/>
      <c r="KOZ20" s="1"/>
      <c r="KPA20" s="120"/>
      <c r="KPB20" s="120"/>
      <c r="KPC20" s="120"/>
      <c r="KPD20"/>
      <c r="KPE20"/>
      <c r="KPF20"/>
      <c r="KPG20"/>
      <c r="KPH20"/>
      <c r="KPI20"/>
      <c r="KPJ20"/>
      <c r="KPK20"/>
      <c r="KPL20"/>
      <c r="KPM20"/>
      <c r="KPN20"/>
      <c r="KPO20" s="1"/>
      <c r="KPP20" s="1"/>
      <c r="KPQ20" s="1"/>
      <c r="KPR20" s="120"/>
      <c r="KPS20" s="120"/>
      <c r="KPT20" s="120"/>
      <c r="KPU20"/>
      <c r="KPV20"/>
      <c r="KPW20"/>
      <c r="KPX20"/>
      <c r="KPY20"/>
      <c r="KPZ20"/>
      <c r="KQA20"/>
      <c r="KQB20"/>
      <c r="KQC20"/>
      <c r="KQD20"/>
      <c r="KQE20"/>
      <c r="KQF20" s="1"/>
      <c r="KQG20" s="1"/>
      <c r="KQH20" s="1"/>
      <c r="KQI20" s="120"/>
      <c r="KQJ20" s="120"/>
      <c r="KQK20" s="120"/>
      <c r="KQL20"/>
      <c r="KQM20"/>
      <c r="KQN20"/>
      <c r="KQO20"/>
      <c r="KQP20"/>
      <c r="KQQ20"/>
      <c r="KQR20"/>
      <c r="KQS20"/>
      <c r="KQT20"/>
      <c r="KQU20"/>
      <c r="KQV20"/>
      <c r="KQW20" s="1"/>
      <c r="KQX20" s="1"/>
      <c r="KQY20" s="1"/>
      <c r="KQZ20" s="120"/>
      <c r="KRA20" s="120"/>
      <c r="KRB20" s="120"/>
      <c r="KRC20"/>
      <c r="KRD20"/>
      <c r="KRE20"/>
      <c r="KRF20"/>
      <c r="KRG20"/>
      <c r="KRH20"/>
      <c r="KRI20"/>
      <c r="KRJ20"/>
      <c r="KRK20"/>
      <c r="KRL20"/>
      <c r="KRM20"/>
      <c r="KRN20" s="1"/>
      <c r="KRO20" s="1"/>
      <c r="KRP20" s="1"/>
      <c r="KRQ20" s="120"/>
      <c r="KRR20" s="120"/>
      <c r="KRS20" s="120"/>
      <c r="KRT20"/>
      <c r="KRU20"/>
      <c r="KRV20"/>
      <c r="KRW20"/>
      <c r="KRX20"/>
      <c r="KRY20"/>
      <c r="KRZ20"/>
      <c r="KSA20"/>
      <c r="KSB20"/>
      <c r="KSC20"/>
      <c r="KSD20"/>
      <c r="KSE20" s="1"/>
      <c r="KSF20" s="1"/>
      <c r="KSG20" s="1"/>
      <c r="KSH20" s="120"/>
      <c r="KSI20" s="120"/>
      <c r="KSJ20" s="120"/>
      <c r="KSK20"/>
      <c r="KSL20"/>
      <c r="KSM20"/>
      <c r="KSN20"/>
      <c r="KSO20"/>
      <c r="KSP20"/>
      <c r="KSQ20"/>
      <c r="KSR20"/>
      <c r="KSS20"/>
      <c r="KST20"/>
      <c r="KSU20"/>
      <c r="KSV20" s="1"/>
      <c r="KSW20" s="1"/>
      <c r="KSX20" s="1"/>
      <c r="KSY20" s="120"/>
      <c r="KSZ20" s="120"/>
      <c r="KTA20" s="120"/>
      <c r="KTB20"/>
      <c r="KTC20"/>
      <c r="KTD20"/>
      <c r="KTE20"/>
      <c r="KTF20"/>
      <c r="KTG20"/>
      <c r="KTH20"/>
      <c r="KTI20"/>
      <c r="KTJ20"/>
      <c r="KTK20"/>
      <c r="KTL20"/>
      <c r="KTM20" s="1"/>
      <c r="KTN20" s="1"/>
      <c r="KTO20" s="1"/>
      <c r="KTP20" s="120"/>
      <c r="KTQ20" s="120"/>
      <c r="KTR20" s="120"/>
      <c r="KTS20"/>
      <c r="KTT20"/>
      <c r="KTU20"/>
      <c r="KTV20"/>
      <c r="KTW20"/>
      <c r="KTX20"/>
      <c r="KTY20"/>
      <c r="KTZ20"/>
      <c r="KUA20"/>
      <c r="KUB20"/>
      <c r="KUC20"/>
      <c r="KUD20" s="1"/>
      <c r="KUE20" s="1"/>
      <c r="KUF20" s="1"/>
      <c r="KUG20" s="120"/>
      <c r="KUH20" s="120"/>
      <c r="KUI20" s="120"/>
      <c r="KUJ20"/>
      <c r="KUK20"/>
      <c r="KUL20"/>
      <c r="KUM20"/>
      <c r="KUN20"/>
      <c r="KUO20"/>
      <c r="KUP20"/>
      <c r="KUQ20"/>
      <c r="KUR20"/>
      <c r="KUS20"/>
      <c r="KUT20"/>
      <c r="KUU20" s="1"/>
      <c r="KUV20" s="1"/>
      <c r="KUW20" s="1"/>
      <c r="KUX20" s="120"/>
      <c r="KUY20" s="120"/>
      <c r="KUZ20" s="120"/>
      <c r="KVA20"/>
      <c r="KVB20"/>
      <c r="KVC20"/>
      <c r="KVD20"/>
      <c r="KVE20"/>
      <c r="KVF20"/>
      <c r="KVG20"/>
      <c r="KVH20"/>
      <c r="KVI20"/>
      <c r="KVJ20"/>
      <c r="KVK20"/>
      <c r="KVL20" s="1"/>
      <c r="KVM20" s="1"/>
      <c r="KVN20" s="1"/>
      <c r="KVO20" s="120"/>
      <c r="KVP20" s="120"/>
      <c r="KVQ20" s="120"/>
      <c r="KVR20"/>
      <c r="KVS20"/>
      <c r="KVT20"/>
      <c r="KVU20"/>
      <c r="KVV20"/>
      <c r="KVW20"/>
      <c r="KVX20"/>
      <c r="KVY20"/>
      <c r="KVZ20"/>
      <c r="KWA20"/>
      <c r="KWB20"/>
      <c r="KWC20" s="1"/>
      <c r="KWD20" s="1"/>
      <c r="KWE20" s="1"/>
      <c r="KWF20" s="120"/>
      <c r="KWG20" s="120"/>
      <c r="KWH20" s="120"/>
      <c r="KWI20"/>
      <c r="KWJ20"/>
      <c r="KWK20"/>
      <c r="KWL20"/>
      <c r="KWM20"/>
      <c r="KWN20"/>
      <c r="KWO20"/>
      <c r="KWP20"/>
      <c r="KWQ20"/>
      <c r="KWR20"/>
      <c r="KWS20"/>
      <c r="KWT20" s="1"/>
      <c r="KWU20" s="1"/>
      <c r="KWV20" s="1"/>
      <c r="KWW20" s="120"/>
      <c r="KWX20" s="120"/>
      <c r="KWY20" s="120"/>
      <c r="KWZ20"/>
      <c r="KXA20"/>
      <c r="KXB20"/>
      <c r="KXC20"/>
      <c r="KXD20"/>
      <c r="KXE20"/>
      <c r="KXF20"/>
      <c r="KXG20"/>
      <c r="KXH20"/>
      <c r="KXI20"/>
      <c r="KXJ20"/>
      <c r="KXK20" s="1"/>
      <c r="KXL20" s="1"/>
      <c r="KXM20" s="1"/>
      <c r="KXN20" s="120"/>
      <c r="KXO20" s="120"/>
      <c r="KXP20" s="120"/>
      <c r="KXQ20"/>
      <c r="KXR20"/>
      <c r="KXS20"/>
      <c r="KXT20"/>
      <c r="KXU20"/>
      <c r="KXV20"/>
      <c r="KXW20"/>
      <c r="KXX20"/>
      <c r="KXY20"/>
      <c r="KXZ20"/>
      <c r="KYA20"/>
      <c r="KYB20" s="1"/>
      <c r="KYC20" s="1"/>
      <c r="KYD20" s="1"/>
      <c r="KYE20" s="120"/>
      <c r="KYF20" s="120"/>
      <c r="KYG20" s="120"/>
      <c r="KYH20"/>
      <c r="KYI20"/>
      <c r="KYJ20"/>
      <c r="KYK20"/>
      <c r="KYL20"/>
      <c r="KYM20"/>
      <c r="KYN20"/>
      <c r="KYO20"/>
      <c r="KYP20"/>
      <c r="KYQ20"/>
      <c r="KYR20"/>
      <c r="KYS20" s="1"/>
      <c r="KYT20" s="1"/>
      <c r="KYU20" s="1"/>
      <c r="KYV20" s="120"/>
      <c r="KYW20" s="120"/>
      <c r="KYX20" s="120"/>
      <c r="KYY20"/>
      <c r="KYZ20"/>
      <c r="KZA20"/>
      <c r="KZB20"/>
      <c r="KZC20"/>
      <c r="KZD20"/>
      <c r="KZE20"/>
      <c r="KZF20"/>
      <c r="KZG20"/>
      <c r="KZH20"/>
      <c r="KZI20"/>
      <c r="KZJ20" s="1"/>
      <c r="KZK20" s="1"/>
      <c r="KZL20" s="1"/>
      <c r="KZM20" s="120"/>
      <c r="KZN20" s="120"/>
      <c r="KZO20" s="120"/>
      <c r="KZP20"/>
      <c r="KZQ20"/>
      <c r="KZR20"/>
      <c r="KZS20"/>
      <c r="KZT20"/>
      <c r="KZU20"/>
      <c r="KZV20"/>
      <c r="KZW20"/>
      <c r="KZX20"/>
      <c r="KZY20"/>
      <c r="KZZ20"/>
      <c r="LAA20" s="1"/>
      <c r="LAB20" s="1"/>
      <c r="LAC20" s="1"/>
      <c r="LAD20" s="120"/>
      <c r="LAE20" s="120"/>
      <c r="LAF20" s="120"/>
      <c r="LAG20"/>
      <c r="LAH20"/>
      <c r="LAI20"/>
      <c r="LAJ20"/>
      <c r="LAK20"/>
      <c r="LAL20"/>
      <c r="LAM20"/>
      <c r="LAN20"/>
      <c r="LAO20"/>
      <c r="LAP20"/>
      <c r="LAQ20"/>
      <c r="LAR20" s="1"/>
      <c r="LAS20" s="1"/>
      <c r="LAT20" s="1"/>
      <c r="LAU20" s="120"/>
      <c r="LAV20" s="120"/>
      <c r="LAW20" s="120"/>
      <c r="LAX20"/>
      <c r="LAY20"/>
      <c r="LAZ20"/>
      <c r="LBA20"/>
      <c r="LBB20"/>
      <c r="LBC20"/>
      <c r="LBD20"/>
      <c r="LBE20"/>
      <c r="LBF20"/>
      <c r="LBG20"/>
      <c r="LBH20"/>
      <c r="LBI20" s="1"/>
      <c r="LBJ20" s="1"/>
      <c r="LBK20" s="1"/>
      <c r="LBL20" s="120"/>
      <c r="LBM20" s="120"/>
      <c r="LBN20" s="120"/>
      <c r="LBO20"/>
      <c r="LBP20"/>
      <c r="LBQ20"/>
      <c r="LBR20"/>
      <c r="LBS20"/>
      <c r="LBT20"/>
      <c r="LBU20"/>
      <c r="LBV20"/>
      <c r="LBW20"/>
      <c r="LBX20"/>
      <c r="LBY20"/>
      <c r="LBZ20" s="1"/>
      <c r="LCA20" s="1"/>
      <c r="LCB20" s="1"/>
      <c r="LCC20" s="120"/>
      <c r="LCD20" s="120"/>
      <c r="LCE20" s="120"/>
      <c r="LCF20"/>
      <c r="LCG20"/>
      <c r="LCH20"/>
      <c r="LCI20"/>
      <c r="LCJ20"/>
      <c r="LCK20"/>
      <c r="LCL20"/>
      <c r="LCM20"/>
      <c r="LCN20"/>
      <c r="LCO20"/>
      <c r="LCP20"/>
      <c r="LCQ20" s="1"/>
      <c r="LCR20" s="1"/>
      <c r="LCS20" s="1"/>
      <c r="LCT20" s="120"/>
      <c r="LCU20" s="120"/>
      <c r="LCV20" s="120"/>
      <c r="LCW20"/>
      <c r="LCX20"/>
      <c r="LCY20"/>
      <c r="LCZ20"/>
      <c r="LDA20"/>
      <c r="LDB20"/>
      <c r="LDC20"/>
      <c r="LDD20"/>
      <c r="LDE20"/>
      <c r="LDF20"/>
      <c r="LDG20"/>
      <c r="LDH20" s="1"/>
      <c r="LDI20" s="1"/>
      <c r="LDJ20" s="1"/>
      <c r="LDK20" s="120"/>
      <c r="LDL20" s="120"/>
      <c r="LDM20" s="120"/>
      <c r="LDN20"/>
      <c r="LDO20"/>
      <c r="LDP20"/>
      <c r="LDQ20"/>
      <c r="LDR20"/>
      <c r="LDS20"/>
      <c r="LDT20"/>
      <c r="LDU20"/>
      <c r="LDV20"/>
      <c r="LDW20"/>
      <c r="LDX20"/>
      <c r="LDY20" s="1"/>
      <c r="LDZ20" s="1"/>
      <c r="LEA20" s="1"/>
      <c r="LEB20" s="120"/>
      <c r="LEC20" s="120"/>
      <c r="LED20" s="120"/>
      <c r="LEE20"/>
      <c r="LEF20"/>
      <c r="LEG20"/>
      <c r="LEH20"/>
      <c r="LEI20"/>
      <c r="LEJ20"/>
      <c r="LEK20"/>
      <c r="LEL20"/>
      <c r="LEM20"/>
      <c r="LEN20"/>
      <c r="LEO20"/>
      <c r="LEP20" s="1"/>
      <c r="LEQ20" s="1"/>
      <c r="LER20" s="1"/>
      <c r="LES20" s="120"/>
      <c r="LET20" s="120"/>
      <c r="LEU20" s="120"/>
      <c r="LEV20"/>
      <c r="LEW20"/>
      <c r="LEX20"/>
      <c r="LEY20"/>
      <c r="LEZ20"/>
      <c r="LFA20"/>
      <c r="LFB20"/>
      <c r="LFC20"/>
      <c r="LFD20"/>
      <c r="LFE20"/>
      <c r="LFF20"/>
      <c r="LFG20" s="1"/>
      <c r="LFH20" s="1"/>
      <c r="LFI20" s="1"/>
      <c r="LFJ20" s="120"/>
      <c r="LFK20" s="120"/>
      <c r="LFL20" s="120"/>
      <c r="LFM20"/>
      <c r="LFN20"/>
      <c r="LFO20"/>
      <c r="LFP20"/>
      <c r="LFQ20"/>
      <c r="LFR20"/>
      <c r="LFS20"/>
      <c r="LFT20"/>
      <c r="LFU20"/>
      <c r="LFV20"/>
      <c r="LFW20"/>
      <c r="LFX20" s="1"/>
      <c r="LFY20" s="1"/>
      <c r="LFZ20" s="1"/>
      <c r="LGA20" s="120"/>
      <c r="LGB20" s="120"/>
      <c r="LGC20" s="120"/>
      <c r="LGD20"/>
      <c r="LGE20"/>
      <c r="LGF20"/>
      <c r="LGG20"/>
      <c r="LGH20"/>
      <c r="LGI20"/>
      <c r="LGJ20"/>
      <c r="LGK20"/>
      <c r="LGL20"/>
      <c r="LGM20"/>
      <c r="LGN20"/>
      <c r="LGO20" s="1"/>
      <c r="LGP20" s="1"/>
      <c r="LGQ20" s="1"/>
      <c r="LGR20" s="120"/>
      <c r="LGS20" s="120"/>
      <c r="LGT20" s="120"/>
      <c r="LGU20"/>
      <c r="LGV20"/>
      <c r="LGW20"/>
      <c r="LGX20"/>
      <c r="LGY20"/>
      <c r="LGZ20"/>
      <c r="LHA20"/>
      <c r="LHB20"/>
      <c r="LHC20"/>
      <c r="LHD20"/>
      <c r="LHE20"/>
      <c r="LHF20" s="1"/>
      <c r="LHG20" s="1"/>
      <c r="LHH20" s="1"/>
      <c r="LHI20" s="120"/>
      <c r="LHJ20" s="120"/>
      <c r="LHK20" s="120"/>
      <c r="LHL20"/>
      <c r="LHM20"/>
      <c r="LHN20"/>
      <c r="LHO20"/>
      <c r="LHP20"/>
      <c r="LHQ20"/>
      <c r="LHR20"/>
      <c r="LHS20"/>
      <c r="LHT20"/>
      <c r="LHU20"/>
      <c r="LHV20"/>
      <c r="LHW20" s="1"/>
      <c r="LHX20" s="1"/>
      <c r="LHY20" s="1"/>
      <c r="LHZ20" s="120"/>
      <c r="LIA20" s="120"/>
      <c r="LIB20" s="120"/>
      <c r="LIC20"/>
      <c r="LID20"/>
      <c r="LIE20"/>
      <c r="LIF20"/>
      <c r="LIG20"/>
      <c r="LIH20"/>
      <c r="LII20"/>
      <c r="LIJ20"/>
      <c r="LIK20"/>
      <c r="LIL20"/>
      <c r="LIM20"/>
      <c r="LIN20" s="1"/>
      <c r="LIO20" s="1"/>
      <c r="LIP20" s="1"/>
      <c r="LIQ20" s="120"/>
      <c r="LIR20" s="120"/>
      <c r="LIS20" s="120"/>
      <c r="LIT20"/>
      <c r="LIU20"/>
      <c r="LIV20"/>
      <c r="LIW20"/>
      <c r="LIX20"/>
      <c r="LIY20"/>
      <c r="LIZ20"/>
      <c r="LJA20"/>
      <c r="LJB20"/>
      <c r="LJC20"/>
      <c r="LJD20"/>
      <c r="LJE20" s="1"/>
      <c r="LJF20" s="1"/>
      <c r="LJG20" s="1"/>
      <c r="LJH20" s="120"/>
      <c r="LJI20" s="120"/>
      <c r="LJJ20" s="120"/>
      <c r="LJK20"/>
      <c r="LJL20"/>
      <c r="LJM20"/>
      <c r="LJN20"/>
      <c r="LJO20"/>
      <c r="LJP20"/>
      <c r="LJQ20"/>
      <c r="LJR20"/>
      <c r="LJS20"/>
      <c r="LJT20"/>
      <c r="LJU20"/>
      <c r="LJV20" s="1"/>
      <c r="LJW20" s="1"/>
      <c r="LJX20" s="1"/>
      <c r="LJY20" s="120"/>
      <c r="LJZ20" s="120"/>
      <c r="LKA20" s="120"/>
      <c r="LKB20"/>
      <c r="LKC20"/>
      <c r="LKD20"/>
      <c r="LKE20"/>
      <c r="LKF20"/>
      <c r="LKG20"/>
      <c r="LKH20"/>
      <c r="LKI20"/>
      <c r="LKJ20"/>
      <c r="LKK20"/>
      <c r="LKL20"/>
      <c r="LKM20" s="1"/>
      <c r="LKN20" s="1"/>
      <c r="LKO20" s="1"/>
      <c r="LKP20" s="120"/>
      <c r="LKQ20" s="120"/>
      <c r="LKR20" s="120"/>
      <c r="LKS20"/>
      <c r="LKT20"/>
      <c r="LKU20"/>
      <c r="LKV20"/>
      <c r="LKW20"/>
      <c r="LKX20"/>
      <c r="LKY20"/>
      <c r="LKZ20"/>
      <c r="LLA20"/>
      <c r="LLB20"/>
      <c r="LLC20"/>
      <c r="LLD20" s="1"/>
      <c r="LLE20" s="1"/>
      <c r="LLF20" s="1"/>
      <c r="LLG20" s="120"/>
      <c r="LLH20" s="120"/>
      <c r="LLI20" s="120"/>
      <c r="LLJ20"/>
      <c r="LLK20"/>
      <c r="LLL20"/>
      <c r="LLM20"/>
      <c r="LLN20"/>
      <c r="LLO20"/>
      <c r="LLP20"/>
      <c r="LLQ20"/>
      <c r="LLR20"/>
      <c r="LLS20"/>
      <c r="LLT20"/>
      <c r="LLU20" s="1"/>
      <c r="LLV20" s="1"/>
      <c r="LLW20" s="1"/>
      <c r="LLX20" s="120"/>
      <c r="LLY20" s="120"/>
      <c r="LLZ20" s="120"/>
      <c r="LMA20"/>
      <c r="LMB20"/>
      <c r="LMC20"/>
      <c r="LMD20"/>
      <c r="LME20"/>
      <c r="LMF20"/>
      <c r="LMG20"/>
      <c r="LMH20"/>
      <c r="LMI20"/>
      <c r="LMJ20"/>
      <c r="LMK20"/>
      <c r="LML20" s="1"/>
      <c r="LMM20" s="1"/>
      <c r="LMN20" s="1"/>
      <c r="LMO20" s="120"/>
      <c r="LMP20" s="120"/>
      <c r="LMQ20" s="120"/>
      <c r="LMR20"/>
      <c r="LMS20"/>
      <c r="LMT20"/>
      <c r="LMU20"/>
      <c r="LMV20"/>
      <c r="LMW20"/>
      <c r="LMX20"/>
      <c r="LMY20"/>
      <c r="LMZ20"/>
      <c r="LNA20"/>
      <c r="LNB20"/>
      <c r="LNC20" s="1"/>
      <c r="LND20" s="1"/>
      <c r="LNE20" s="1"/>
      <c r="LNF20" s="120"/>
      <c r="LNG20" s="120"/>
      <c r="LNH20" s="120"/>
      <c r="LNI20"/>
      <c r="LNJ20"/>
      <c r="LNK20"/>
      <c r="LNL20"/>
      <c r="LNM20"/>
      <c r="LNN20"/>
      <c r="LNO20"/>
      <c r="LNP20"/>
      <c r="LNQ20"/>
      <c r="LNR20"/>
      <c r="LNS20"/>
      <c r="LNT20" s="1"/>
      <c r="LNU20" s="1"/>
      <c r="LNV20" s="1"/>
      <c r="LNW20" s="120"/>
      <c r="LNX20" s="120"/>
      <c r="LNY20" s="120"/>
      <c r="LNZ20"/>
      <c r="LOA20"/>
      <c r="LOB20"/>
      <c r="LOC20"/>
      <c r="LOD20"/>
      <c r="LOE20"/>
      <c r="LOF20"/>
      <c r="LOG20"/>
      <c r="LOH20"/>
      <c r="LOI20"/>
      <c r="LOJ20"/>
      <c r="LOK20" s="1"/>
      <c r="LOL20" s="1"/>
      <c r="LOM20" s="1"/>
      <c r="LON20" s="120"/>
      <c r="LOO20" s="120"/>
      <c r="LOP20" s="120"/>
      <c r="LOQ20"/>
      <c r="LOR20"/>
      <c r="LOS20"/>
      <c r="LOT20"/>
      <c r="LOU20"/>
      <c r="LOV20"/>
      <c r="LOW20"/>
      <c r="LOX20"/>
      <c r="LOY20"/>
      <c r="LOZ20"/>
      <c r="LPA20"/>
      <c r="LPB20" s="1"/>
      <c r="LPC20" s="1"/>
      <c r="LPD20" s="1"/>
      <c r="LPE20" s="120"/>
      <c r="LPF20" s="120"/>
      <c r="LPG20" s="120"/>
      <c r="LPH20"/>
      <c r="LPI20"/>
      <c r="LPJ20"/>
      <c r="LPK20"/>
      <c r="LPL20"/>
      <c r="LPM20"/>
      <c r="LPN20"/>
      <c r="LPO20"/>
      <c r="LPP20"/>
      <c r="LPQ20"/>
      <c r="LPR20"/>
      <c r="LPS20" s="1"/>
      <c r="LPT20" s="1"/>
      <c r="LPU20" s="1"/>
      <c r="LPV20" s="120"/>
      <c r="LPW20" s="120"/>
      <c r="LPX20" s="120"/>
      <c r="LPY20"/>
      <c r="LPZ20"/>
      <c r="LQA20"/>
      <c r="LQB20"/>
      <c r="LQC20"/>
      <c r="LQD20"/>
      <c r="LQE20"/>
      <c r="LQF20"/>
      <c r="LQG20"/>
      <c r="LQH20"/>
      <c r="LQI20"/>
      <c r="LQJ20" s="1"/>
      <c r="LQK20" s="1"/>
      <c r="LQL20" s="1"/>
      <c r="LQM20" s="120"/>
      <c r="LQN20" s="120"/>
      <c r="LQO20" s="120"/>
      <c r="LQP20"/>
      <c r="LQQ20"/>
      <c r="LQR20"/>
      <c r="LQS20"/>
      <c r="LQT20"/>
      <c r="LQU20"/>
      <c r="LQV20"/>
      <c r="LQW20"/>
      <c r="LQX20"/>
      <c r="LQY20"/>
      <c r="LQZ20"/>
      <c r="LRA20" s="1"/>
      <c r="LRB20" s="1"/>
      <c r="LRC20" s="1"/>
      <c r="LRD20" s="120"/>
      <c r="LRE20" s="120"/>
      <c r="LRF20" s="120"/>
      <c r="LRG20"/>
      <c r="LRH20"/>
      <c r="LRI20"/>
      <c r="LRJ20"/>
      <c r="LRK20"/>
      <c r="LRL20"/>
      <c r="LRM20"/>
      <c r="LRN20"/>
      <c r="LRO20"/>
      <c r="LRP20"/>
      <c r="LRQ20"/>
      <c r="LRR20" s="1"/>
      <c r="LRS20" s="1"/>
      <c r="LRT20" s="1"/>
      <c r="LRU20" s="120"/>
      <c r="LRV20" s="120"/>
      <c r="LRW20" s="120"/>
      <c r="LRX20"/>
      <c r="LRY20"/>
      <c r="LRZ20"/>
      <c r="LSA20"/>
      <c r="LSB20"/>
      <c r="LSC20"/>
      <c r="LSD20"/>
      <c r="LSE20"/>
      <c r="LSF20"/>
      <c r="LSG20"/>
      <c r="LSH20"/>
      <c r="LSI20" s="1"/>
      <c r="LSJ20" s="1"/>
      <c r="LSK20" s="1"/>
      <c r="LSL20" s="120"/>
      <c r="LSM20" s="120"/>
      <c r="LSN20" s="120"/>
      <c r="LSO20"/>
      <c r="LSP20"/>
      <c r="LSQ20"/>
      <c r="LSR20"/>
      <c r="LSS20"/>
      <c r="LST20"/>
      <c r="LSU20"/>
      <c r="LSV20"/>
      <c r="LSW20"/>
      <c r="LSX20"/>
      <c r="LSY20"/>
      <c r="LSZ20" s="1"/>
      <c r="LTA20" s="1"/>
      <c r="LTB20" s="1"/>
      <c r="LTC20" s="120"/>
      <c r="LTD20" s="120"/>
      <c r="LTE20" s="120"/>
      <c r="LTF20"/>
      <c r="LTG20"/>
      <c r="LTH20"/>
      <c r="LTI20"/>
      <c r="LTJ20"/>
      <c r="LTK20"/>
      <c r="LTL20"/>
      <c r="LTM20"/>
      <c r="LTN20"/>
      <c r="LTO20"/>
      <c r="LTP20"/>
      <c r="LTQ20" s="1"/>
      <c r="LTR20" s="1"/>
      <c r="LTS20" s="1"/>
      <c r="LTT20" s="120"/>
      <c r="LTU20" s="120"/>
      <c r="LTV20" s="120"/>
      <c r="LTW20"/>
      <c r="LTX20"/>
      <c r="LTY20"/>
      <c r="LTZ20"/>
      <c r="LUA20"/>
      <c r="LUB20"/>
      <c r="LUC20"/>
      <c r="LUD20"/>
      <c r="LUE20"/>
      <c r="LUF20"/>
      <c r="LUG20"/>
      <c r="LUH20" s="1"/>
      <c r="LUI20" s="1"/>
      <c r="LUJ20" s="1"/>
      <c r="LUK20" s="120"/>
      <c r="LUL20" s="120"/>
      <c r="LUM20" s="120"/>
      <c r="LUN20"/>
      <c r="LUO20"/>
      <c r="LUP20"/>
      <c r="LUQ20"/>
      <c r="LUR20"/>
      <c r="LUS20"/>
      <c r="LUT20"/>
      <c r="LUU20"/>
      <c r="LUV20"/>
      <c r="LUW20"/>
      <c r="LUX20"/>
      <c r="LUY20" s="1"/>
      <c r="LUZ20" s="1"/>
      <c r="LVA20" s="1"/>
      <c r="LVB20" s="120"/>
      <c r="LVC20" s="120"/>
      <c r="LVD20" s="120"/>
      <c r="LVE20"/>
      <c r="LVF20"/>
      <c r="LVG20"/>
      <c r="LVH20"/>
      <c r="LVI20"/>
      <c r="LVJ20"/>
      <c r="LVK20"/>
      <c r="LVL20"/>
      <c r="LVM20"/>
      <c r="LVN20"/>
      <c r="LVO20"/>
      <c r="LVP20" s="1"/>
      <c r="LVQ20" s="1"/>
      <c r="LVR20" s="1"/>
      <c r="LVS20" s="120"/>
      <c r="LVT20" s="120"/>
      <c r="LVU20" s="120"/>
      <c r="LVV20"/>
      <c r="LVW20"/>
      <c r="LVX20"/>
      <c r="LVY20"/>
      <c r="LVZ20"/>
      <c r="LWA20"/>
      <c r="LWB20"/>
      <c r="LWC20"/>
      <c r="LWD20"/>
      <c r="LWE20"/>
      <c r="LWF20"/>
      <c r="LWG20" s="1"/>
      <c r="LWH20" s="1"/>
      <c r="LWI20" s="1"/>
      <c r="LWJ20" s="120"/>
      <c r="LWK20" s="120"/>
      <c r="LWL20" s="120"/>
      <c r="LWM20"/>
      <c r="LWN20"/>
      <c r="LWO20"/>
      <c r="LWP20"/>
      <c r="LWQ20"/>
      <c r="LWR20"/>
      <c r="LWS20"/>
      <c r="LWT20"/>
      <c r="LWU20"/>
      <c r="LWV20"/>
      <c r="LWW20"/>
      <c r="LWX20" s="1"/>
      <c r="LWY20" s="1"/>
      <c r="LWZ20" s="1"/>
      <c r="LXA20" s="120"/>
      <c r="LXB20" s="120"/>
      <c r="LXC20" s="120"/>
      <c r="LXD20"/>
      <c r="LXE20"/>
      <c r="LXF20"/>
      <c r="LXG20"/>
      <c r="LXH20"/>
      <c r="LXI20"/>
      <c r="LXJ20"/>
      <c r="LXK20"/>
      <c r="LXL20"/>
      <c r="LXM20"/>
      <c r="LXN20"/>
      <c r="LXO20" s="1"/>
      <c r="LXP20" s="1"/>
      <c r="LXQ20" s="1"/>
      <c r="LXR20" s="120"/>
      <c r="LXS20" s="120"/>
      <c r="LXT20" s="120"/>
      <c r="LXU20"/>
      <c r="LXV20"/>
      <c r="LXW20"/>
      <c r="LXX20"/>
      <c r="LXY20"/>
      <c r="LXZ20"/>
      <c r="LYA20"/>
      <c r="LYB20"/>
      <c r="LYC20"/>
      <c r="LYD20"/>
      <c r="LYE20"/>
      <c r="LYF20" s="1"/>
      <c r="LYG20" s="1"/>
      <c r="LYH20" s="1"/>
      <c r="LYI20" s="120"/>
      <c r="LYJ20" s="120"/>
      <c r="LYK20" s="120"/>
      <c r="LYL20"/>
      <c r="LYM20"/>
      <c r="LYN20"/>
      <c r="LYO20"/>
      <c r="LYP20"/>
      <c r="LYQ20"/>
      <c r="LYR20"/>
      <c r="LYS20"/>
      <c r="LYT20"/>
      <c r="LYU20"/>
      <c r="LYV20"/>
      <c r="LYW20" s="1"/>
      <c r="LYX20" s="1"/>
      <c r="LYY20" s="1"/>
      <c r="LYZ20" s="120"/>
      <c r="LZA20" s="120"/>
      <c r="LZB20" s="120"/>
      <c r="LZC20"/>
      <c r="LZD20"/>
      <c r="LZE20"/>
      <c r="LZF20"/>
      <c r="LZG20"/>
      <c r="LZH20"/>
      <c r="LZI20"/>
      <c r="LZJ20"/>
      <c r="LZK20"/>
      <c r="LZL20"/>
      <c r="LZM20"/>
      <c r="LZN20" s="1"/>
      <c r="LZO20" s="1"/>
      <c r="LZP20" s="1"/>
      <c r="LZQ20" s="120"/>
      <c r="LZR20" s="120"/>
      <c r="LZS20" s="120"/>
      <c r="LZT20"/>
      <c r="LZU20"/>
      <c r="LZV20"/>
      <c r="LZW20"/>
      <c r="LZX20"/>
      <c r="LZY20"/>
      <c r="LZZ20"/>
      <c r="MAA20"/>
      <c r="MAB20"/>
      <c r="MAC20"/>
      <c r="MAD20"/>
      <c r="MAE20" s="1"/>
      <c r="MAF20" s="1"/>
      <c r="MAG20" s="1"/>
      <c r="MAH20" s="120"/>
      <c r="MAI20" s="120"/>
      <c r="MAJ20" s="120"/>
      <c r="MAK20"/>
      <c r="MAL20"/>
      <c r="MAM20"/>
      <c r="MAN20"/>
      <c r="MAO20"/>
      <c r="MAP20"/>
      <c r="MAQ20"/>
      <c r="MAR20"/>
      <c r="MAS20"/>
      <c r="MAT20"/>
      <c r="MAU20"/>
      <c r="MAV20" s="1"/>
      <c r="MAW20" s="1"/>
      <c r="MAX20" s="1"/>
      <c r="MAY20" s="120"/>
      <c r="MAZ20" s="120"/>
      <c r="MBA20" s="120"/>
      <c r="MBB20"/>
      <c r="MBC20"/>
      <c r="MBD20"/>
      <c r="MBE20"/>
      <c r="MBF20"/>
      <c r="MBG20"/>
      <c r="MBH20"/>
      <c r="MBI20"/>
      <c r="MBJ20"/>
      <c r="MBK20"/>
      <c r="MBL20"/>
      <c r="MBM20" s="1"/>
      <c r="MBN20" s="1"/>
      <c r="MBO20" s="1"/>
      <c r="MBP20" s="120"/>
      <c r="MBQ20" s="120"/>
      <c r="MBR20" s="120"/>
      <c r="MBS20"/>
      <c r="MBT20"/>
      <c r="MBU20"/>
      <c r="MBV20"/>
      <c r="MBW20"/>
      <c r="MBX20"/>
      <c r="MBY20"/>
      <c r="MBZ20"/>
      <c r="MCA20"/>
      <c r="MCB20"/>
      <c r="MCC20"/>
      <c r="MCD20" s="1"/>
      <c r="MCE20" s="1"/>
      <c r="MCF20" s="1"/>
      <c r="MCG20" s="120"/>
      <c r="MCH20" s="120"/>
      <c r="MCI20" s="120"/>
      <c r="MCJ20"/>
      <c r="MCK20"/>
      <c r="MCL20"/>
      <c r="MCM20"/>
      <c r="MCN20"/>
      <c r="MCO20"/>
      <c r="MCP20"/>
      <c r="MCQ20"/>
      <c r="MCR20"/>
      <c r="MCS20"/>
      <c r="MCT20"/>
      <c r="MCU20" s="1"/>
      <c r="MCV20" s="1"/>
      <c r="MCW20" s="1"/>
      <c r="MCX20" s="120"/>
      <c r="MCY20" s="120"/>
      <c r="MCZ20" s="120"/>
      <c r="MDA20"/>
      <c r="MDB20"/>
      <c r="MDC20"/>
      <c r="MDD20"/>
      <c r="MDE20"/>
      <c r="MDF20"/>
      <c r="MDG20"/>
      <c r="MDH20"/>
      <c r="MDI20"/>
      <c r="MDJ20"/>
      <c r="MDK20"/>
      <c r="MDL20" s="1"/>
      <c r="MDM20" s="1"/>
      <c r="MDN20" s="1"/>
      <c r="MDO20" s="120"/>
      <c r="MDP20" s="120"/>
      <c r="MDQ20" s="120"/>
      <c r="MDR20"/>
      <c r="MDS20"/>
      <c r="MDT20"/>
      <c r="MDU20"/>
      <c r="MDV20"/>
      <c r="MDW20"/>
      <c r="MDX20"/>
      <c r="MDY20"/>
      <c r="MDZ20"/>
      <c r="MEA20"/>
      <c r="MEB20"/>
      <c r="MEC20" s="1"/>
      <c r="MED20" s="1"/>
      <c r="MEE20" s="1"/>
      <c r="MEF20" s="120"/>
      <c r="MEG20" s="120"/>
      <c r="MEH20" s="120"/>
      <c r="MEI20"/>
      <c r="MEJ20"/>
      <c r="MEK20"/>
      <c r="MEL20"/>
      <c r="MEM20"/>
      <c r="MEN20"/>
      <c r="MEO20"/>
      <c r="MEP20"/>
      <c r="MEQ20"/>
      <c r="MER20"/>
      <c r="MES20"/>
      <c r="MET20" s="1"/>
      <c r="MEU20" s="1"/>
      <c r="MEV20" s="1"/>
      <c r="MEW20" s="120"/>
      <c r="MEX20" s="120"/>
      <c r="MEY20" s="120"/>
      <c r="MEZ20"/>
      <c r="MFA20"/>
      <c r="MFB20"/>
      <c r="MFC20"/>
      <c r="MFD20"/>
      <c r="MFE20"/>
      <c r="MFF20"/>
      <c r="MFG20"/>
      <c r="MFH20"/>
      <c r="MFI20"/>
      <c r="MFJ20"/>
      <c r="MFK20" s="1"/>
      <c r="MFL20" s="1"/>
      <c r="MFM20" s="1"/>
      <c r="MFN20" s="120"/>
      <c r="MFO20" s="120"/>
      <c r="MFP20" s="120"/>
      <c r="MFQ20"/>
      <c r="MFR20"/>
      <c r="MFS20"/>
      <c r="MFT20"/>
      <c r="MFU20"/>
      <c r="MFV20"/>
      <c r="MFW20"/>
      <c r="MFX20"/>
      <c r="MFY20"/>
      <c r="MFZ20"/>
      <c r="MGA20"/>
      <c r="MGB20" s="1"/>
      <c r="MGC20" s="1"/>
      <c r="MGD20" s="1"/>
      <c r="MGE20" s="120"/>
      <c r="MGF20" s="120"/>
      <c r="MGG20" s="120"/>
      <c r="MGH20"/>
      <c r="MGI20"/>
      <c r="MGJ20"/>
      <c r="MGK20"/>
      <c r="MGL20"/>
      <c r="MGM20"/>
      <c r="MGN20"/>
      <c r="MGO20"/>
      <c r="MGP20"/>
      <c r="MGQ20"/>
      <c r="MGR20"/>
      <c r="MGS20" s="1"/>
      <c r="MGT20" s="1"/>
      <c r="MGU20" s="1"/>
      <c r="MGV20" s="120"/>
      <c r="MGW20" s="120"/>
      <c r="MGX20" s="120"/>
      <c r="MGY20"/>
      <c r="MGZ20"/>
      <c r="MHA20"/>
      <c r="MHB20"/>
      <c r="MHC20"/>
      <c r="MHD20"/>
      <c r="MHE20"/>
      <c r="MHF20"/>
      <c r="MHG20"/>
      <c r="MHH20"/>
      <c r="MHI20"/>
      <c r="MHJ20" s="1"/>
      <c r="MHK20" s="1"/>
      <c r="MHL20" s="1"/>
      <c r="MHM20" s="120"/>
      <c r="MHN20" s="120"/>
      <c r="MHO20" s="120"/>
      <c r="MHP20"/>
      <c r="MHQ20"/>
      <c r="MHR20"/>
      <c r="MHS20"/>
      <c r="MHT20"/>
      <c r="MHU20"/>
      <c r="MHV20"/>
      <c r="MHW20"/>
      <c r="MHX20"/>
      <c r="MHY20"/>
      <c r="MHZ20"/>
      <c r="MIA20" s="1"/>
      <c r="MIB20" s="1"/>
      <c r="MIC20" s="1"/>
      <c r="MID20" s="120"/>
      <c r="MIE20" s="120"/>
      <c r="MIF20" s="120"/>
      <c r="MIG20"/>
      <c r="MIH20"/>
      <c r="MII20"/>
      <c r="MIJ20"/>
      <c r="MIK20"/>
      <c r="MIL20"/>
      <c r="MIM20"/>
      <c r="MIN20"/>
      <c r="MIO20"/>
      <c r="MIP20"/>
      <c r="MIQ20"/>
      <c r="MIR20" s="1"/>
      <c r="MIS20" s="1"/>
      <c r="MIT20" s="1"/>
      <c r="MIU20" s="120"/>
      <c r="MIV20" s="120"/>
      <c r="MIW20" s="120"/>
      <c r="MIX20"/>
      <c r="MIY20"/>
      <c r="MIZ20"/>
      <c r="MJA20"/>
      <c r="MJB20"/>
      <c r="MJC20"/>
      <c r="MJD20"/>
      <c r="MJE20"/>
      <c r="MJF20"/>
      <c r="MJG20"/>
      <c r="MJH20"/>
      <c r="MJI20" s="1"/>
      <c r="MJJ20" s="1"/>
      <c r="MJK20" s="1"/>
      <c r="MJL20" s="120"/>
      <c r="MJM20" s="120"/>
      <c r="MJN20" s="120"/>
      <c r="MJO20"/>
      <c r="MJP20"/>
      <c r="MJQ20"/>
      <c r="MJR20"/>
      <c r="MJS20"/>
      <c r="MJT20"/>
      <c r="MJU20"/>
      <c r="MJV20"/>
      <c r="MJW20"/>
      <c r="MJX20"/>
      <c r="MJY20"/>
      <c r="MJZ20" s="1"/>
      <c r="MKA20" s="1"/>
      <c r="MKB20" s="1"/>
      <c r="MKC20" s="120"/>
      <c r="MKD20" s="120"/>
      <c r="MKE20" s="120"/>
      <c r="MKF20"/>
      <c r="MKG20"/>
      <c r="MKH20"/>
      <c r="MKI20"/>
      <c r="MKJ20"/>
      <c r="MKK20"/>
      <c r="MKL20"/>
      <c r="MKM20"/>
      <c r="MKN20"/>
      <c r="MKO20"/>
      <c r="MKP20"/>
      <c r="MKQ20" s="1"/>
      <c r="MKR20" s="1"/>
      <c r="MKS20" s="1"/>
      <c r="MKT20" s="120"/>
      <c r="MKU20" s="120"/>
      <c r="MKV20" s="120"/>
      <c r="MKW20"/>
      <c r="MKX20"/>
      <c r="MKY20"/>
      <c r="MKZ20"/>
      <c r="MLA20"/>
      <c r="MLB20"/>
      <c r="MLC20"/>
      <c r="MLD20"/>
      <c r="MLE20"/>
      <c r="MLF20"/>
      <c r="MLG20"/>
      <c r="MLH20" s="1"/>
      <c r="MLI20" s="1"/>
      <c r="MLJ20" s="1"/>
      <c r="MLK20" s="120"/>
      <c r="MLL20" s="120"/>
      <c r="MLM20" s="120"/>
      <c r="MLN20"/>
      <c r="MLO20"/>
      <c r="MLP20"/>
      <c r="MLQ20"/>
      <c r="MLR20"/>
      <c r="MLS20"/>
      <c r="MLT20"/>
      <c r="MLU20"/>
      <c r="MLV20"/>
      <c r="MLW20"/>
      <c r="MLX20"/>
      <c r="MLY20" s="1"/>
      <c r="MLZ20" s="1"/>
      <c r="MMA20" s="1"/>
      <c r="MMB20" s="120"/>
      <c r="MMC20" s="120"/>
      <c r="MMD20" s="120"/>
      <c r="MME20"/>
      <c r="MMF20"/>
      <c r="MMG20"/>
      <c r="MMH20"/>
      <c r="MMI20"/>
      <c r="MMJ20"/>
      <c r="MMK20"/>
      <c r="MML20"/>
      <c r="MMM20"/>
      <c r="MMN20"/>
      <c r="MMO20"/>
      <c r="MMP20" s="1"/>
      <c r="MMQ20" s="1"/>
      <c r="MMR20" s="1"/>
      <c r="MMS20" s="120"/>
      <c r="MMT20" s="120"/>
      <c r="MMU20" s="120"/>
      <c r="MMV20"/>
      <c r="MMW20"/>
      <c r="MMX20"/>
      <c r="MMY20"/>
      <c r="MMZ20"/>
      <c r="MNA20"/>
      <c r="MNB20"/>
      <c r="MNC20"/>
      <c r="MND20"/>
      <c r="MNE20"/>
      <c r="MNF20"/>
      <c r="MNG20" s="1"/>
      <c r="MNH20" s="1"/>
      <c r="MNI20" s="1"/>
      <c r="MNJ20" s="120"/>
      <c r="MNK20" s="120"/>
      <c r="MNL20" s="120"/>
      <c r="MNM20"/>
      <c r="MNN20"/>
      <c r="MNO20"/>
      <c r="MNP20"/>
      <c r="MNQ20"/>
      <c r="MNR20"/>
      <c r="MNS20"/>
      <c r="MNT20"/>
      <c r="MNU20"/>
      <c r="MNV20"/>
      <c r="MNW20"/>
      <c r="MNX20" s="1"/>
      <c r="MNY20" s="1"/>
      <c r="MNZ20" s="1"/>
      <c r="MOA20" s="120"/>
      <c r="MOB20" s="120"/>
      <c r="MOC20" s="120"/>
      <c r="MOD20"/>
      <c r="MOE20"/>
      <c r="MOF20"/>
      <c r="MOG20"/>
      <c r="MOH20"/>
      <c r="MOI20"/>
      <c r="MOJ20"/>
      <c r="MOK20"/>
      <c r="MOL20"/>
      <c r="MOM20"/>
      <c r="MON20"/>
      <c r="MOO20" s="1"/>
      <c r="MOP20" s="1"/>
      <c r="MOQ20" s="1"/>
      <c r="MOR20" s="120"/>
      <c r="MOS20" s="120"/>
      <c r="MOT20" s="120"/>
      <c r="MOU20"/>
      <c r="MOV20"/>
      <c r="MOW20"/>
      <c r="MOX20"/>
      <c r="MOY20"/>
      <c r="MOZ20"/>
      <c r="MPA20"/>
      <c r="MPB20"/>
      <c r="MPC20"/>
      <c r="MPD20"/>
      <c r="MPE20"/>
      <c r="MPF20" s="1"/>
      <c r="MPG20" s="1"/>
      <c r="MPH20" s="1"/>
      <c r="MPI20" s="120"/>
      <c r="MPJ20" s="120"/>
      <c r="MPK20" s="120"/>
      <c r="MPL20"/>
      <c r="MPM20"/>
      <c r="MPN20"/>
      <c r="MPO20"/>
      <c r="MPP20"/>
      <c r="MPQ20"/>
      <c r="MPR20"/>
      <c r="MPS20"/>
      <c r="MPT20"/>
      <c r="MPU20"/>
      <c r="MPV20"/>
      <c r="MPW20" s="1"/>
      <c r="MPX20" s="1"/>
      <c r="MPY20" s="1"/>
      <c r="MPZ20" s="120"/>
      <c r="MQA20" s="120"/>
      <c r="MQB20" s="120"/>
      <c r="MQC20"/>
      <c r="MQD20"/>
      <c r="MQE20"/>
      <c r="MQF20"/>
      <c r="MQG20"/>
      <c r="MQH20"/>
      <c r="MQI20"/>
      <c r="MQJ20"/>
      <c r="MQK20"/>
      <c r="MQL20"/>
      <c r="MQM20"/>
      <c r="MQN20" s="1"/>
      <c r="MQO20" s="1"/>
      <c r="MQP20" s="1"/>
      <c r="MQQ20" s="120"/>
      <c r="MQR20" s="120"/>
      <c r="MQS20" s="120"/>
      <c r="MQT20"/>
      <c r="MQU20"/>
      <c r="MQV20"/>
      <c r="MQW20"/>
      <c r="MQX20"/>
      <c r="MQY20"/>
      <c r="MQZ20"/>
      <c r="MRA20"/>
      <c r="MRB20"/>
      <c r="MRC20"/>
      <c r="MRD20"/>
      <c r="MRE20" s="1"/>
      <c r="MRF20" s="1"/>
      <c r="MRG20" s="1"/>
      <c r="MRH20" s="120"/>
      <c r="MRI20" s="120"/>
      <c r="MRJ20" s="120"/>
      <c r="MRK20"/>
      <c r="MRL20"/>
      <c r="MRM20"/>
      <c r="MRN20"/>
      <c r="MRO20"/>
      <c r="MRP20"/>
      <c r="MRQ20"/>
      <c r="MRR20"/>
      <c r="MRS20"/>
      <c r="MRT20"/>
      <c r="MRU20"/>
      <c r="MRV20" s="1"/>
      <c r="MRW20" s="1"/>
      <c r="MRX20" s="1"/>
      <c r="MRY20" s="120"/>
      <c r="MRZ20" s="120"/>
      <c r="MSA20" s="120"/>
      <c r="MSB20"/>
      <c r="MSC20"/>
      <c r="MSD20"/>
      <c r="MSE20"/>
      <c r="MSF20"/>
      <c r="MSG20"/>
      <c r="MSH20"/>
      <c r="MSI20"/>
      <c r="MSJ20"/>
      <c r="MSK20"/>
      <c r="MSL20"/>
      <c r="MSM20" s="1"/>
      <c r="MSN20" s="1"/>
      <c r="MSO20" s="1"/>
      <c r="MSP20" s="120"/>
      <c r="MSQ20" s="120"/>
      <c r="MSR20" s="120"/>
      <c r="MSS20"/>
      <c r="MST20"/>
      <c r="MSU20"/>
      <c r="MSV20"/>
      <c r="MSW20"/>
      <c r="MSX20"/>
      <c r="MSY20"/>
      <c r="MSZ20"/>
      <c r="MTA20"/>
      <c r="MTB20"/>
      <c r="MTC20"/>
      <c r="MTD20" s="1"/>
      <c r="MTE20" s="1"/>
      <c r="MTF20" s="1"/>
      <c r="MTG20" s="120"/>
      <c r="MTH20" s="120"/>
      <c r="MTI20" s="120"/>
      <c r="MTJ20"/>
      <c r="MTK20"/>
      <c r="MTL20"/>
      <c r="MTM20"/>
      <c r="MTN20"/>
      <c r="MTO20"/>
      <c r="MTP20"/>
      <c r="MTQ20"/>
      <c r="MTR20"/>
      <c r="MTS20"/>
      <c r="MTT20"/>
      <c r="MTU20" s="1"/>
      <c r="MTV20" s="1"/>
      <c r="MTW20" s="1"/>
      <c r="MTX20" s="120"/>
      <c r="MTY20" s="120"/>
      <c r="MTZ20" s="120"/>
      <c r="MUA20"/>
      <c r="MUB20"/>
      <c r="MUC20"/>
      <c r="MUD20"/>
      <c r="MUE20"/>
      <c r="MUF20"/>
      <c r="MUG20"/>
      <c r="MUH20"/>
      <c r="MUI20"/>
      <c r="MUJ20"/>
      <c r="MUK20"/>
      <c r="MUL20" s="1"/>
      <c r="MUM20" s="1"/>
      <c r="MUN20" s="1"/>
      <c r="MUO20" s="120"/>
      <c r="MUP20" s="120"/>
      <c r="MUQ20" s="120"/>
      <c r="MUR20"/>
      <c r="MUS20"/>
      <c r="MUT20"/>
      <c r="MUU20"/>
      <c r="MUV20"/>
      <c r="MUW20"/>
      <c r="MUX20"/>
      <c r="MUY20"/>
      <c r="MUZ20"/>
      <c r="MVA20"/>
      <c r="MVB20"/>
      <c r="MVC20" s="1"/>
      <c r="MVD20" s="1"/>
      <c r="MVE20" s="1"/>
      <c r="MVF20" s="120"/>
      <c r="MVG20" s="120"/>
      <c r="MVH20" s="120"/>
      <c r="MVI20"/>
      <c r="MVJ20"/>
      <c r="MVK20"/>
      <c r="MVL20"/>
      <c r="MVM20"/>
      <c r="MVN20"/>
      <c r="MVO20"/>
      <c r="MVP20"/>
      <c r="MVQ20"/>
      <c r="MVR20"/>
      <c r="MVS20"/>
      <c r="MVT20" s="1"/>
      <c r="MVU20" s="1"/>
      <c r="MVV20" s="1"/>
      <c r="MVW20" s="120"/>
      <c r="MVX20" s="120"/>
      <c r="MVY20" s="120"/>
      <c r="MVZ20"/>
      <c r="MWA20"/>
      <c r="MWB20"/>
      <c r="MWC20"/>
      <c r="MWD20"/>
      <c r="MWE20"/>
      <c r="MWF20"/>
      <c r="MWG20"/>
      <c r="MWH20"/>
      <c r="MWI20"/>
      <c r="MWJ20"/>
      <c r="MWK20" s="1"/>
      <c r="MWL20" s="1"/>
      <c r="MWM20" s="1"/>
      <c r="MWN20" s="120"/>
      <c r="MWO20" s="120"/>
      <c r="MWP20" s="120"/>
      <c r="MWQ20"/>
      <c r="MWR20"/>
      <c r="MWS20"/>
      <c r="MWT20"/>
      <c r="MWU20"/>
      <c r="MWV20"/>
      <c r="MWW20"/>
      <c r="MWX20"/>
      <c r="MWY20"/>
      <c r="MWZ20"/>
      <c r="MXA20"/>
      <c r="MXB20" s="1"/>
      <c r="MXC20" s="1"/>
      <c r="MXD20" s="1"/>
      <c r="MXE20" s="120"/>
      <c r="MXF20" s="120"/>
      <c r="MXG20" s="120"/>
      <c r="MXH20"/>
      <c r="MXI20"/>
      <c r="MXJ20"/>
      <c r="MXK20"/>
      <c r="MXL20"/>
      <c r="MXM20"/>
      <c r="MXN20"/>
      <c r="MXO20"/>
      <c r="MXP20"/>
      <c r="MXQ20"/>
      <c r="MXR20"/>
      <c r="MXS20" s="1"/>
      <c r="MXT20" s="1"/>
      <c r="MXU20" s="1"/>
      <c r="MXV20" s="120"/>
      <c r="MXW20" s="120"/>
      <c r="MXX20" s="120"/>
      <c r="MXY20"/>
      <c r="MXZ20"/>
      <c r="MYA20"/>
      <c r="MYB20"/>
      <c r="MYC20"/>
      <c r="MYD20"/>
      <c r="MYE20"/>
      <c r="MYF20"/>
      <c r="MYG20"/>
      <c r="MYH20"/>
      <c r="MYI20"/>
      <c r="MYJ20" s="1"/>
      <c r="MYK20" s="1"/>
      <c r="MYL20" s="1"/>
      <c r="MYM20" s="120"/>
      <c r="MYN20" s="120"/>
      <c r="MYO20" s="120"/>
      <c r="MYP20"/>
      <c r="MYQ20"/>
      <c r="MYR20"/>
      <c r="MYS20"/>
      <c r="MYT20"/>
      <c r="MYU20"/>
      <c r="MYV20"/>
      <c r="MYW20"/>
      <c r="MYX20"/>
      <c r="MYY20"/>
      <c r="MYZ20"/>
      <c r="MZA20" s="1"/>
      <c r="MZB20" s="1"/>
      <c r="MZC20" s="1"/>
      <c r="MZD20" s="120"/>
      <c r="MZE20" s="120"/>
      <c r="MZF20" s="120"/>
      <c r="MZG20"/>
      <c r="MZH20"/>
      <c r="MZI20"/>
      <c r="MZJ20"/>
      <c r="MZK20"/>
      <c r="MZL20"/>
      <c r="MZM20"/>
      <c r="MZN20"/>
      <c r="MZO20"/>
      <c r="MZP20"/>
      <c r="MZQ20"/>
      <c r="MZR20" s="1"/>
      <c r="MZS20" s="1"/>
      <c r="MZT20" s="1"/>
      <c r="MZU20" s="120"/>
      <c r="MZV20" s="120"/>
      <c r="MZW20" s="120"/>
      <c r="MZX20"/>
      <c r="MZY20"/>
      <c r="MZZ20"/>
      <c r="NAA20"/>
      <c r="NAB20"/>
      <c r="NAC20"/>
      <c r="NAD20"/>
      <c r="NAE20"/>
      <c r="NAF20"/>
      <c r="NAG20"/>
      <c r="NAH20"/>
      <c r="NAI20" s="1"/>
      <c r="NAJ20" s="1"/>
      <c r="NAK20" s="1"/>
      <c r="NAL20" s="120"/>
      <c r="NAM20" s="120"/>
      <c r="NAN20" s="120"/>
      <c r="NAO20"/>
      <c r="NAP20"/>
      <c r="NAQ20"/>
      <c r="NAR20"/>
      <c r="NAS20"/>
      <c r="NAT20"/>
      <c r="NAU20"/>
      <c r="NAV20"/>
      <c r="NAW20"/>
      <c r="NAX20"/>
      <c r="NAY20"/>
      <c r="NAZ20" s="1"/>
      <c r="NBA20" s="1"/>
      <c r="NBB20" s="1"/>
      <c r="NBC20" s="120"/>
      <c r="NBD20" s="120"/>
      <c r="NBE20" s="120"/>
      <c r="NBF20"/>
      <c r="NBG20"/>
      <c r="NBH20"/>
      <c r="NBI20"/>
      <c r="NBJ20"/>
      <c r="NBK20"/>
      <c r="NBL20"/>
      <c r="NBM20"/>
      <c r="NBN20"/>
      <c r="NBO20"/>
      <c r="NBP20"/>
      <c r="NBQ20" s="1"/>
      <c r="NBR20" s="1"/>
      <c r="NBS20" s="1"/>
      <c r="NBT20" s="120"/>
      <c r="NBU20" s="120"/>
      <c r="NBV20" s="120"/>
      <c r="NBW20"/>
      <c r="NBX20"/>
      <c r="NBY20"/>
      <c r="NBZ20"/>
      <c r="NCA20"/>
      <c r="NCB20"/>
      <c r="NCC20"/>
      <c r="NCD20"/>
      <c r="NCE20"/>
      <c r="NCF20"/>
      <c r="NCG20"/>
      <c r="NCH20" s="1"/>
      <c r="NCI20" s="1"/>
      <c r="NCJ20" s="1"/>
      <c r="NCK20" s="120"/>
      <c r="NCL20" s="120"/>
      <c r="NCM20" s="120"/>
      <c r="NCN20"/>
      <c r="NCO20"/>
      <c r="NCP20"/>
      <c r="NCQ20"/>
      <c r="NCR20"/>
      <c r="NCS20"/>
      <c r="NCT20"/>
      <c r="NCU20"/>
      <c r="NCV20"/>
      <c r="NCW20"/>
      <c r="NCX20"/>
      <c r="NCY20" s="1"/>
      <c r="NCZ20" s="1"/>
      <c r="NDA20" s="1"/>
      <c r="NDB20" s="120"/>
      <c r="NDC20" s="120"/>
      <c r="NDD20" s="120"/>
      <c r="NDE20"/>
      <c r="NDF20"/>
      <c r="NDG20"/>
      <c r="NDH20"/>
      <c r="NDI20"/>
      <c r="NDJ20"/>
      <c r="NDK20"/>
      <c r="NDL20"/>
      <c r="NDM20"/>
      <c r="NDN20"/>
      <c r="NDO20"/>
      <c r="NDP20" s="1"/>
      <c r="NDQ20" s="1"/>
      <c r="NDR20" s="1"/>
      <c r="NDS20" s="120"/>
      <c r="NDT20" s="120"/>
      <c r="NDU20" s="120"/>
      <c r="NDV20"/>
      <c r="NDW20"/>
      <c r="NDX20"/>
      <c r="NDY20"/>
      <c r="NDZ20"/>
      <c r="NEA20"/>
      <c r="NEB20"/>
      <c r="NEC20"/>
      <c r="NED20"/>
      <c r="NEE20"/>
      <c r="NEF20"/>
      <c r="NEG20" s="1"/>
      <c r="NEH20" s="1"/>
      <c r="NEI20" s="1"/>
      <c r="NEJ20" s="120"/>
      <c r="NEK20" s="120"/>
      <c r="NEL20" s="120"/>
      <c r="NEM20"/>
      <c r="NEN20"/>
      <c r="NEO20"/>
      <c r="NEP20"/>
      <c r="NEQ20"/>
      <c r="NER20"/>
      <c r="NES20"/>
      <c r="NET20"/>
      <c r="NEU20"/>
      <c r="NEV20"/>
      <c r="NEW20"/>
      <c r="NEX20" s="1"/>
      <c r="NEY20" s="1"/>
      <c r="NEZ20" s="1"/>
      <c r="NFA20" s="120"/>
      <c r="NFB20" s="120"/>
      <c r="NFC20" s="120"/>
      <c r="NFD20"/>
      <c r="NFE20"/>
      <c r="NFF20"/>
      <c r="NFG20"/>
      <c r="NFH20"/>
      <c r="NFI20"/>
      <c r="NFJ20"/>
      <c r="NFK20"/>
      <c r="NFL20"/>
      <c r="NFM20"/>
      <c r="NFN20"/>
      <c r="NFO20" s="1"/>
      <c r="NFP20" s="1"/>
      <c r="NFQ20" s="1"/>
      <c r="NFR20" s="120"/>
      <c r="NFS20" s="120"/>
      <c r="NFT20" s="120"/>
      <c r="NFU20"/>
      <c r="NFV20"/>
      <c r="NFW20"/>
      <c r="NFX20"/>
      <c r="NFY20"/>
      <c r="NFZ20"/>
      <c r="NGA20"/>
      <c r="NGB20"/>
      <c r="NGC20"/>
      <c r="NGD20"/>
      <c r="NGE20"/>
      <c r="NGF20" s="1"/>
      <c r="NGG20" s="1"/>
      <c r="NGH20" s="1"/>
      <c r="NGI20" s="120"/>
      <c r="NGJ20" s="120"/>
      <c r="NGK20" s="120"/>
      <c r="NGL20"/>
      <c r="NGM20"/>
      <c r="NGN20"/>
      <c r="NGO20"/>
      <c r="NGP20"/>
      <c r="NGQ20"/>
      <c r="NGR20"/>
      <c r="NGS20"/>
      <c r="NGT20"/>
      <c r="NGU20"/>
      <c r="NGV20"/>
      <c r="NGW20" s="1"/>
      <c r="NGX20" s="1"/>
      <c r="NGY20" s="1"/>
      <c r="NGZ20" s="120"/>
      <c r="NHA20" s="120"/>
      <c r="NHB20" s="120"/>
      <c r="NHC20"/>
      <c r="NHD20"/>
      <c r="NHE20"/>
      <c r="NHF20"/>
      <c r="NHG20"/>
      <c r="NHH20"/>
      <c r="NHI20"/>
      <c r="NHJ20"/>
      <c r="NHK20"/>
      <c r="NHL20"/>
      <c r="NHM20"/>
      <c r="NHN20" s="1"/>
      <c r="NHO20" s="1"/>
      <c r="NHP20" s="1"/>
      <c r="NHQ20" s="120"/>
      <c r="NHR20" s="120"/>
      <c r="NHS20" s="120"/>
      <c r="NHT20"/>
      <c r="NHU20"/>
      <c r="NHV20"/>
      <c r="NHW20"/>
      <c r="NHX20"/>
      <c r="NHY20"/>
      <c r="NHZ20"/>
      <c r="NIA20"/>
      <c r="NIB20"/>
      <c r="NIC20"/>
      <c r="NID20"/>
      <c r="NIE20" s="1"/>
      <c r="NIF20" s="1"/>
      <c r="NIG20" s="1"/>
      <c r="NIH20" s="120"/>
      <c r="NII20" s="120"/>
      <c r="NIJ20" s="120"/>
      <c r="NIK20"/>
      <c r="NIL20"/>
      <c r="NIM20"/>
      <c r="NIN20"/>
      <c r="NIO20"/>
      <c r="NIP20"/>
      <c r="NIQ20"/>
      <c r="NIR20"/>
      <c r="NIS20"/>
      <c r="NIT20"/>
      <c r="NIU20"/>
      <c r="NIV20" s="1"/>
      <c r="NIW20" s="1"/>
      <c r="NIX20" s="1"/>
      <c r="NIY20" s="120"/>
      <c r="NIZ20" s="120"/>
      <c r="NJA20" s="120"/>
      <c r="NJB20"/>
      <c r="NJC20"/>
      <c r="NJD20"/>
      <c r="NJE20"/>
      <c r="NJF20"/>
      <c r="NJG20"/>
      <c r="NJH20"/>
      <c r="NJI20"/>
      <c r="NJJ20"/>
      <c r="NJK20"/>
      <c r="NJL20"/>
      <c r="NJM20" s="1"/>
      <c r="NJN20" s="1"/>
      <c r="NJO20" s="1"/>
      <c r="NJP20" s="120"/>
      <c r="NJQ20" s="120"/>
      <c r="NJR20" s="120"/>
      <c r="NJS20"/>
      <c r="NJT20"/>
      <c r="NJU20"/>
      <c r="NJV20"/>
      <c r="NJW20"/>
      <c r="NJX20"/>
      <c r="NJY20"/>
      <c r="NJZ20"/>
      <c r="NKA20"/>
      <c r="NKB20"/>
      <c r="NKC20"/>
      <c r="NKD20" s="1"/>
      <c r="NKE20" s="1"/>
      <c r="NKF20" s="1"/>
      <c r="NKG20" s="120"/>
      <c r="NKH20" s="120"/>
      <c r="NKI20" s="120"/>
      <c r="NKJ20"/>
      <c r="NKK20"/>
      <c r="NKL20"/>
      <c r="NKM20"/>
      <c r="NKN20"/>
      <c r="NKO20"/>
      <c r="NKP20"/>
      <c r="NKQ20"/>
      <c r="NKR20"/>
      <c r="NKS20"/>
      <c r="NKT20"/>
      <c r="NKU20" s="1"/>
      <c r="NKV20" s="1"/>
      <c r="NKW20" s="1"/>
      <c r="NKX20" s="120"/>
      <c r="NKY20" s="120"/>
      <c r="NKZ20" s="120"/>
      <c r="NLA20"/>
      <c r="NLB20"/>
      <c r="NLC20"/>
      <c r="NLD20"/>
      <c r="NLE20"/>
      <c r="NLF20"/>
      <c r="NLG20"/>
      <c r="NLH20"/>
      <c r="NLI20"/>
      <c r="NLJ20"/>
      <c r="NLK20"/>
      <c r="NLL20" s="1"/>
      <c r="NLM20" s="1"/>
      <c r="NLN20" s="1"/>
      <c r="NLO20" s="120"/>
      <c r="NLP20" s="120"/>
      <c r="NLQ20" s="120"/>
      <c r="NLR20"/>
      <c r="NLS20"/>
      <c r="NLT20"/>
      <c r="NLU20"/>
      <c r="NLV20"/>
      <c r="NLW20"/>
      <c r="NLX20"/>
      <c r="NLY20"/>
      <c r="NLZ20"/>
      <c r="NMA20"/>
      <c r="NMB20"/>
      <c r="NMC20" s="1"/>
      <c r="NMD20" s="1"/>
      <c r="NME20" s="1"/>
      <c r="NMF20" s="120"/>
      <c r="NMG20" s="120"/>
      <c r="NMH20" s="120"/>
      <c r="NMI20"/>
      <c r="NMJ20"/>
      <c r="NMK20"/>
      <c r="NML20"/>
      <c r="NMM20"/>
      <c r="NMN20"/>
      <c r="NMO20"/>
      <c r="NMP20"/>
      <c r="NMQ20"/>
      <c r="NMR20"/>
      <c r="NMS20"/>
      <c r="NMT20" s="1"/>
      <c r="NMU20" s="1"/>
      <c r="NMV20" s="1"/>
      <c r="NMW20" s="120"/>
      <c r="NMX20" s="120"/>
      <c r="NMY20" s="120"/>
      <c r="NMZ20"/>
      <c r="NNA20"/>
      <c r="NNB20"/>
      <c r="NNC20"/>
      <c r="NND20"/>
      <c r="NNE20"/>
      <c r="NNF20"/>
      <c r="NNG20"/>
      <c r="NNH20"/>
      <c r="NNI20"/>
      <c r="NNJ20"/>
      <c r="NNK20" s="1"/>
      <c r="NNL20" s="1"/>
      <c r="NNM20" s="1"/>
      <c r="NNN20" s="120"/>
      <c r="NNO20" s="120"/>
      <c r="NNP20" s="120"/>
      <c r="NNQ20"/>
      <c r="NNR20"/>
      <c r="NNS20"/>
      <c r="NNT20"/>
      <c r="NNU20"/>
      <c r="NNV20"/>
      <c r="NNW20"/>
      <c r="NNX20"/>
      <c r="NNY20"/>
      <c r="NNZ20"/>
      <c r="NOA20"/>
      <c r="NOB20" s="1"/>
      <c r="NOC20" s="1"/>
      <c r="NOD20" s="1"/>
      <c r="NOE20" s="120"/>
      <c r="NOF20" s="120"/>
      <c r="NOG20" s="120"/>
      <c r="NOH20"/>
      <c r="NOI20"/>
      <c r="NOJ20"/>
      <c r="NOK20"/>
      <c r="NOL20"/>
      <c r="NOM20"/>
      <c r="NON20"/>
      <c r="NOO20"/>
      <c r="NOP20"/>
      <c r="NOQ20"/>
      <c r="NOR20"/>
      <c r="NOS20" s="1"/>
      <c r="NOT20" s="1"/>
      <c r="NOU20" s="1"/>
      <c r="NOV20" s="120"/>
      <c r="NOW20" s="120"/>
      <c r="NOX20" s="120"/>
      <c r="NOY20"/>
      <c r="NOZ20"/>
      <c r="NPA20"/>
      <c r="NPB20"/>
      <c r="NPC20"/>
      <c r="NPD20"/>
      <c r="NPE20"/>
      <c r="NPF20"/>
      <c r="NPG20"/>
      <c r="NPH20"/>
      <c r="NPI20"/>
      <c r="NPJ20" s="1"/>
      <c r="NPK20" s="1"/>
      <c r="NPL20" s="1"/>
      <c r="NPM20" s="120"/>
      <c r="NPN20" s="120"/>
      <c r="NPO20" s="120"/>
      <c r="NPP20"/>
      <c r="NPQ20"/>
      <c r="NPR20"/>
      <c r="NPS20"/>
      <c r="NPT20"/>
      <c r="NPU20"/>
      <c r="NPV20"/>
      <c r="NPW20"/>
      <c r="NPX20"/>
      <c r="NPY20"/>
      <c r="NPZ20"/>
      <c r="NQA20" s="1"/>
      <c r="NQB20" s="1"/>
      <c r="NQC20" s="1"/>
      <c r="NQD20" s="120"/>
      <c r="NQE20" s="120"/>
      <c r="NQF20" s="120"/>
      <c r="NQG20"/>
      <c r="NQH20"/>
      <c r="NQI20"/>
      <c r="NQJ20"/>
      <c r="NQK20"/>
      <c r="NQL20"/>
      <c r="NQM20"/>
      <c r="NQN20"/>
      <c r="NQO20"/>
      <c r="NQP20"/>
      <c r="NQQ20"/>
      <c r="NQR20" s="1"/>
      <c r="NQS20" s="1"/>
      <c r="NQT20" s="1"/>
      <c r="NQU20" s="120"/>
      <c r="NQV20" s="120"/>
      <c r="NQW20" s="120"/>
      <c r="NQX20"/>
      <c r="NQY20"/>
      <c r="NQZ20"/>
      <c r="NRA20"/>
      <c r="NRB20"/>
      <c r="NRC20"/>
      <c r="NRD20"/>
      <c r="NRE20"/>
      <c r="NRF20"/>
      <c r="NRG20"/>
      <c r="NRH20"/>
      <c r="NRI20" s="1"/>
      <c r="NRJ20" s="1"/>
      <c r="NRK20" s="1"/>
      <c r="NRL20" s="120"/>
      <c r="NRM20" s="120"/>
      <c r="NRN20" s="120"/>
      <c r="NRO20"/>
      <c r="NRP20"/>
      <c r="NRQ20"/>
      <c r="NRR20"/>
      <c r="NRS20"/>
      <c r="NRT20"/>
      <c r="NRU20"/>
      <c r="NRV20"/>
      <c r="NRW20"/>
      <c r="NRX20"/>
      <c r="NRY20"/>
      <c r="NRZ20" s="1"/>
      <c r="NSA20" s="1"/>
      <c r="NSB20" s="1"/>
      <c r="NSC20" s="120"/>
      <c r="NSD20" s="120"/>
      <c r="NSE20" s="120"/>
      <c r="NSF20"/>
      <c r="NSG20"/>
      <c r="NSH20"/>
      <c r="NSI20"/>
      <c r="NSJ20"/>
      <c r="NSK20"/>
      <c r="NSL20"/>
      <c r="NSM20"/>
      <c r="NSN20"/>
      <c r="NSO20"/>
      <c r="NSP20"/>
      <c r="NSQ20" s="1"/>
      <c r="NSR20" s="1"/>
      <c r="NSS20" s="1"/>
      <c r="NST20" s="120"/>
      <c r="NSU20" s="120"/>
      <c r="NSV20" s="120"/>
      <c r="NSW20"/>
      <c r="NSX20"/>
      <c r="NSY20"/>
      <c r="NSZ20"/>
      <c r="NTA20"/>
      <c r="NTB20"/>
      <c r="NTC20"/>
      <c r="NTD20"/>
      <c r="NTE20"/>
      <c r="NTF20"/>
      <c r="NTG20"/>
      <c r="NTH20" s="1"/>
      <c r="NTI20" s="1"/>
      <c r="NTJ20" s="1"/>
      <c r="NTK20" s="120"/>
      <c r="NTL20" s="120"/>
      <c r="NTM20" s="120"/>
      <c r="NTN20"/>
      <c r="NTO20"/>
      <c r="NTP20"/>
      <c r="NTQ20"/>
      <c r="NTR20"/>
      <c r="NTS20"/>
      <c r="NTT20"/>
      <c r="NTU20"/>
      <c r="NTV20"/>
      <c r="NTW20"/>
      <c r="NTX20"/>
      <c r="NTY20" s="1"/>
      <c r="NTZ20" s="1"/>
      <c r="NUA20" s="1"/>
      <c r="NUB20" s="120"/>
      <c r="NUC20" s="120"/>
      <c r="NUD20" s="120"/>
      <c r="NUE20"/>
      <c r="NUF20"/>
      <c r="NUG20"/>
      <c r="NUH20"/>
      <c r="NUI20"/>
      <c r="NUJ20"/>
      <c r="NUK20"/>
      <c r="NUL20"/>
      <c r="NUM20"/>
      <c r="NUN20"/>
      <c r="NUO20"/>
      <c r="NUP20" s="1"/>
      <c r="NUQ20" s="1"/>
      <c r="NUR20" s="1"/>
      <c r="NUS20" s="120"/>
      <c r="NUT20" s="120"/>
      <c r="NUU20" s="120"/>
      <c r="NUV20"/>
      <c r="NUW20"/>
      <c r="NUX20"/>
      <c r="NUY20"/>
      <c r="NUZ20"/>
      <c r="NVA20"/>
      <c r="NVB20"/>
      <c r="NVC20"/>
      <c r="NVD20"/>
      <c r="NVE20"/>
      <c r="NVF20"/>
      <c r="NVG20" s="1"/>
      <c r="NVH20" s="1"/>
      <c r="NVI20" s="1"/>
      <c r="NVJ20" s="120"/>
      <c r="NVK20" s="120"/>
      <c r="NVL20" s="120"/>
      <c r="NVM20"/>
      <c r="NVN20"/>
      <c r="NVO20"/>
      <c r="NVP20"/>
      <c r="NVQ20"/>
      <c r="NVR20"/>
      <c r="NVS20"/>
      <c r="NVT20"/>
      <c r="NVU20"/>
      <c r="NVV20"/>
      <c r="NVW20"/>
      <c r="NVX20" s="1"/>
      <c r="NVY20" s="1"/>
      <c r="NVZ20" s="1"/>
      <c r="NWA20" s="120"/>
      <c r="NWB20" s="120"/>
      <c r="NWC20" s="120"/>
      <c r="NWD20"/>
      <c r="NWE20"/>
      <c r="NWF20"/>
      <c r="NWG20"/>
      <c r="NWH20"/>
      <c r="NWI20"/>
      <c r="NWJ20"/>
      <c r="NWK20"/>
      <c r="NWL20"/>
      <c r="NWM20"/>
      <c r="NWN20"/>
      <c r="NWO20" s="1"/>
      <c r="NWP20" s="1"/>
      <c r="NWQ20" s="1"/>
      <c r="NWR20" s="120"/>
      <c r="NWS20" s="120"/>
      <c r="NWT20" s="120"/>
      <c r="NWU20"/>
      <c r="NWV20"/>
      <c r="NWW20"/>
      <c r="NWX20"/>
      <c r="NWY20"/>
      <c r="NWZ20"/>
      <c r="NXA20"/>
      <c r="NXB20"/>
      <c r="NXC20"/>
      <c r="NXD20"/>
      <c r="NXE20"/>
      <c r="NXF20" s="1"/>
      <c r="NXG20" s="1"/>
      <c r="NXH20" s="1"/>
      <c r="NXI20" s="120"/>
      <c r="NXJ20" s="120"/>
      <c r="NXK20" s="120"/>
      <c r="NXL20"/>
      <c r="NXM20"/>
      <c r="NXN20"/>
      <c r="NXO20"/>
      <c r="NXP20"/>
      <c r="NXQ20"/>
      <c r="NXR20"/>
      <c r="NXS20"/>
      <c r="NXT20"/>
      <c r="NXU20"/>
      <c r="NXV20"/>
      <c r="NXW20" s="1"/>
      <c r="NXX20" s="1"/>
      <c r="NXY20" s="1"/>
      <c r="NXZ20" s="120"/>
      <c r="NYA20" s="120"/>
      <c r="NYB20" s="120"/>
      <c r="NYC20"/>
      <c r="NYD20"/>
      <c r="NYE20"/>
      <c r="NYF20"/>
      <c r="NYG20"/>
      <c r="NYH20"/>
      <c r="NYI20"/>
      <c r="NYJ20"/>
      <c r="NYK20"/>
      <c r="NYL20"/>
      <c r="NYM20"/>
      <c r="NYN20" s="1"/>
      <c r="NYO20" s="1"/>
      <c r="NYP20" s="1"/>
      <c r="NYQ20" s="120"/>
      <c r="NYR20" s="120"/>
      <c r="NYS20" s="120"/>
      <c r="NYT20"/>
      <c r="NYU20"/>
      <c r="NYV20"/>
      <c r="NYW20"/>
      <c r="NYX20"/>
      <c r="NYY20"/>
      <c r="NYZ20"/>
      <c r="NZA20"/>
      <c r="NZB20"/>
      <c r="NZC20"/>
      <c r="NZD20"/>
      <c r="NZE20" s="1"/>
      <c r="NZF20" s="1"/>
      <c r="NZG20" s="1"/>
      <c r="NZH20" s="120"/>
      <c r="NZI20" s="120"/>
      <c r="NZJ20" s="120"/>
      <c r="NZK20"/>
      <c r="NZL20"/>
      <c r="NZM20"/>
      <c r="NZN20"/>
      <c r="NZO20"/>
      <c r="NZP20"/>
      <c r="NZQ20"/>
      <c r="NZR20"/>
      <c r="NZS20"/>
      <c r="NZT20"/>
      <c r="NZU20"/>
      <c r="NZV20" s="1"/>
      <c r="NZW20" s="1"/>
      <c r="NZX20" s="1"/>
      <c r="NZY20" s="120"/>
      <c r="NZZ20" s="120"/>
      <c r="OAA20" s="120"/>
      <c r="OAB20"/>
      <c r="OAC20"/>
      <c r="OAD20"/>
      <c r="OAE20"/>
      <c r="OAF20"/>
      <c r="OAG20"/>
      <c r="OAH20"/>
      <c r="OAI20"/>
      <c r="OAJ20"/>
      <c r="OAK20"/>
      <c r="OAL20"/>
      <c r="OAM20" s="1"/>
      <c r="OAN20" s="1"/>
      <c r="OAO20" s="1"/>
      <c r="OAP20" s="120"/>
      <c r="OAQ20" s="120"/>
      <c r="OAR20" s="120"/>
      <c r="OAS20"/>
      <c r="OAT20"/>
      <c r="OAU20"/>
      <c r="OAV20"/>
      <c r="OAW20"/>
      <c r="OAX20"/>
      <c r="OAY20"/>
      <c r="OAZ20"/>
      <c r="OBA20"/>
      <c r="OBB20"/>
      <c r="OBC20"/>
      <c r="OBD20" s="1"/>
      <c r="OBE20" s="1"/>
      <c r="OBF20" s="1"/>
      <c r="OBG20" s="120"/>
      <c r="OBH20" s="120"/>
      <c r="OBI20" s="120"/>
      <c r="OBJ20"/>
      <c r="OBK20"/>
      <c r="OBL20"/>
      <c r="OBM20"/>
      <c r="OBN20"/>
      <c r="OBO20"/>
      <c r="OBP20"/>
      <c r="OBQ20"/>
      <c r="OBR20"/>
      <c r="OBS20"/>
      <c r="OBT20"/>
      <c r="OBU20" s="1"/>
      <c r="OBV20" s="1"/>
      <c r="OBW20" s="1"/>
      <c r="OBX20" s="120"/>
      <c r="OBY20" s="120"/>
      <c r="OBZ20" s="120"/>
      <c r="OCA20"/>
      <c r="OCB20"/>
      <c r="OCC20"/>
      <c r="OCD20"/>
      <c r="OCE20"/>
      <c r="OCF20"/>
      <c r="OCG20"/>
      <c r="OCH20"/>
      <c r="OCI20"/>
      <c r="OCJ20"/>
      <c r="OCK20"/>
      <c r="OCL20" s="1"/>
      <c r="OCM20" s="1"/>
      <c r="OCN20" s="1"/>
      <c r="OCO20" s="120"/>
      <c r="OCP20" s="120"/>
      <c r="OCQ20" s="120"/>
      <c r="OCR20"/>
      <c r="OCS20"/>
      <c r="OCT20"/>
      <c r="OCU20"/>
      <c r="OCV20"/>
      <c r="OCW20"/>
      <c r="OCX20"/>
      <c r="OCY20"/>
      <c r="OCZ20"/>
      <c r="ODA20"/>
      <c r="ODB20"/>
      <c r="ODC20" s="1"/>
      <c r="ODD20" s="1"/>
      <c r="ODE20" s="1"/>
      <c r="ODF20" s="120"/>
      <c r="ODG20" s="120"/>
      <c r="ODH20" s="120"/>
      <c r="ODI20"/>
      <c r="ODJ20"/>
      <c r="ODK20"/>
      <c r="ODL20"/>
      <c r="ODM20"/>
      <c r="ODN20"/>
      <c r="ODO20"/>
      <c r="ODP20"/>
      <c r="ODQ20"/>
      <c r="ODR20"/>
      <c r="ODS20"/>
      <c r="ODT20" s="1"/>
      <c r="ODU20" s="1"/>
      <c r="ODV20" s="1"/>
      <c r="ODW20" s="120"/>
      <c r="ODX20" s="120"/>
      <c r="ODY20" s="120"/>
      <c r="ODZ20"/>
      <c r="OEA20"/>
      <c r="OEB20"/>
      <c r="OEC20"/>
      <c r="OED20"/>
      <c r="OEE20"/>
      <c r="OEF20"/>
      <c r="OEG20"/>
      <c r="OEH20"/>
      <c r="OEI20"/>
      <c r="OEJ20"/>
      <c r="OEK20" s="1"/>
      <c r="OEL20" s="1"/>
      <c r="OEM20" s="1"/>
      <c r="OEN20" s="120"/>
      <c r="OEO20" s="120"/>
      <c r="OEP20" s="120"/>
      <c r="OEQ20"/>
      <c r="OER20"/>
      <c r="OES20"/>
      <c r="OET20"/>
      <c r="OEU20"/>
      <c r="OEV20"/>
      <c r="OEW20"/>
      <c r="OEX20"/>
      <c r="OEY20"/>
      <c r="OEZ20"/>
      <c r="OFA20"/>
      <c r="OFB20" s="1"/>
      <c r="OFC20" s="1"/>
      <c r="OFD20" s="1"/>
      <c r="OFE20" s="120"/>
      <c r="OFF20" s="120"/>
      <c r="OFG20" s="120"/>
      <c r="OFH20"/>
      <c r="OFI20"/>
      <c r="OFJ20"/>
      <c r="OFK20"/>
      <c r="OFL20"/>
      <c r="OFM20"/>
      <c r="OFN20"/>
      <c r="OFO20"/>
      <c r="OFP20"/>
      <c r="OFQ20"/>
      <c r="OFR20"/>
      <c r="OFS20" s="1"/>
      <c r="OFT20" s="1"/>
      <c r="OFU20" s="1"/>
      <c r="OFV20" s="120"/>
      <c r="OFW20" s="120"/>
      <c r="OFX20" s="120"/>
      <c r="OFY20"/>
      <c r="OFZ20"/>
      <c r="OGA20"/>
      <c r="OGB20"/>
      <c r="OGC20"/>
      <c r="OGD20"/>
      <c r="OGE20"/>
      <c r="OGF20"/>
      <c r="OGG20"/>
      <c r="OGH20"/>
      <c r="OGI20"/>
      <c r="OGJ20" s="1"/>
      <c r="OGK20" s="1"/>
      <c r="OGL20" s="1"/>
      <c r="OGM20" s="120"/>
      <c r="OGN20" s="120"/>
      <c r="OGO20" s="120"/>
      <c r="OGP20"/>
      <c r="OGQ20"/>
      <c r="OGR20"/>
      <c r="OGS20"/>
      <c r="OGT20"/>
      <c r="OGU20"/>
      <c r="OGV20"/>
      <c r="OGW20"/>
      <c r="OGX20"/>
      <c r="OGY20"/>
      <c r="OGZ20"/>
      <c r="OHA20" s="1"/>
      <c r="OHB20" s="1"/>
      <c r="OHC20" s="1"/>
      <c r="OHD20" s="120"/>
      <c r="OHE20" s="120"/>
      <c r="OHF20" s="120"/>
      <c r="OHG20"/>
      <c r="OHH20"/>
      <c r="OHI20"/>
      <c r="OHJ20"/>
      <c r="OHK20"/>
      <c r="OHL20"/>
      <c r="OHM20"/>
      <c r="OHN20"/>
      <c r="OHO20"/>
      <c r="OHP20"/>
      <c r="OHQ20"/>
      <c r="OHR20" s="1"/>
      <c r="OHS20" s="1"/>
      <c r="OHT20" s="1"/>
      <c r="OHU20" s="120"/>
      <c r="OHV20" s="120"/>
      <c r="OHW20" s="120"/>
      <c r="OHX20"/>
      <c r="OHY20"/>
      <c r="OHZ20"/>
      <c r="OIA20"/>
      <c r="OIB20"/>
      <c r="OIC20"/>
      <c r="OID20"/>
      <c r="OIE20"/>
      <c r="OIF20"/>
      <c r="OIG20"/>
      <c r="OIH20"/>
      <c r="OII20" s="1"/>
      <c r="OIJ20" s="1"/>
      <c r="OIK20" s="1"/>
      <c r="OIL20" s="120"/>
      <c r="OIM20" s="120"/>
      <c r="OIN20" s="120"/>
      <c r="OIO20"/>
      <c r="OIP20"/>
      <c r="OIQ20"/>
      <c r="OIR20"/>
      <c r="OIS20"/>
      <c r="OIT20"/>
      <c r="OIU20"/>
      <c r="OIV20"/>
      <c r="OIW20"/>
      <c r="OIX20"/>
      <c r="OIY20"/>
      <c r="OIZ20" s="1"/>
      <c r="OJA20" s="1"/>
      <c r="OJB20" s="1"/>
      <c r="OJC20" s="120"/>
      <c r="OJD20" s="120"/>
      <c r="OJE20" s="120"/>
      <c r="OJF20"/>
      <c r="OJG20"/>
      <c r="OJH20"/>
      <c r="OJI20"/>
      <c r="OJJ20"/>
      <c r="OJK20"/>
      <c r="OJL20"/>
      <c r="OJM20"/>
      <c r="OJN20"/>
      <c r="OJO20"/>
      <c r="OJP20"/>
      <c r="OJQ20" s="1"/>
      <c r="OJR20" s="1"/>
      <c r="OJS20" s="1"/>
      <c r="OJT20" s="120"/>
      <c r="OJU20" s="120"/>
      <c r="OJV20" s="120"/>
      <c r="OJW20"/>
      <c r="OJX20"/>
      <c r="OJY20"/>
      <c r="OJZ20"/>
      <c r="OKA20"/>
      <c r="OKB20"/>
      <c r="OKC20"/>
      <c r="OKD20"/>
      <c r="OKE20"/>
      <c r="OKF20"/>
      <c r="OKG20"/>
      <c r="OKH20" s="1"/>
      <c r="OKI20" s="1"/>
      <c r="OKJ20" s="1"/>
      <c r="OKK20" s="120"/>
      <c r="OKL20" s="120"/>
      <c r="OKM20" s="120"/>
      <c r="OKN20"/>
      <c r="OKO20"/>
      <c r="OKP20"/>
      <c r="OKQ20"/>
      <c r="OKR20"/>
      <c r="OKS20"/>
      <c r="OKT20"/>
      <c r="OKU20"/>
      <c r="OKV20"/>
      <c r="OKW20"/>
      <c r="OKX20"/>
      <c r="OKY20" s="1"/>
      <c r="OKZ20" s="1"/>
      <c r="OLA20" s="1"/>
      <c r="OLB20" s="120"/>
      <c r="OLC20" s="120"/>
      <c r="OLD20" s="120"/>
      <c r="OLE20"/>
      <c r="OLF20"/>
      <c r="OLG20"/>
      <c r="OLH20"/>
      <c r="OLI20"/>
      <c r="OLJ20"/>
      <c r="OLK20"/>
      <c r="OLL20"/>
      <c r="OLM20"/>
      <c r="OLN20"/>
      <c r="OLO20"/>
      <c r="OLP20" s="1"/>
      <c r="OLQ20" s="1"/>
      <c r="OLR20" s="1"/>
      <c r="OLS20" s="120"/>
      <c r="OLT20" s="120"/>
      <c r="OLU20" s="120"/>
      <c r="OLV20"/>
      <c r="OLW20"/>
      <c r="OLX20"/>
      <c r="OLY20"/>
      <c r="OLZ20"/>
      <c r="OMA20"/>
      <c r="OMB20"/>
      <c r="OMC20"/>
      <c r="OMD20"/>
      <c r="OME20"/>
      <c r="OMF20"/>
      <c r="OMG20" s="1"/>
      <c r="OMH20" s="1"/>
      <c r="OMI20" s="1"/>
      <c r="OMJ20" s="120"/>
      <c r="OMK20" s="120"/>
      <c r="OML20" s="120"/>
      <c r="OMM20"/>
      <c r="OMN20"/>
      <c r="OMO20"/>
      <c r="OMP20"/>
      <c r="OMQ20"/>
      <c r="OMR20"/>
      <c r="OMS20"/>
      <c r="OMT20"/>
      <c r="OMU20"/>
      <c r="OMV20"/>
      <c r="OMW20"/>
      <c r="OMX20" s="1"/>
      <c r="OMY20" s="1"/>
      <c r="OMZ20" s="1"/>
      <c r="ONA20" s="120"/>
      <c r="ONB20" s="120"/>
      <c r="ONC20" s="120"/>
      <c r="OND20"/>
      <c r="ONE20"/>
      <c r="ONF20"/>
      <c r="ONG20"/>
      <c r="ONH20"/>
      <c r="ONI20"/>
      <c r="ONJ20"/>
      <c r="ONK20"/>
      <c r="ONL20"/>
      <c r="ONM20"/>
      <c r="ONN20"/>
      <c r="ONO20" s="1"/>
      <c r="ONP20" s="1"/>
      <c r="ONQ20" s="1"/>
      <c r="ONR20" s="120"/>
      <c r="ONS20" s="120"/>
      <c r="ONT20" s="120"/>
      <c r="ONU20"/>
      <c r="ONV20"/>
      <c r="ONW20"/>
      <c r="ONX20"/>
      <c r="ONY20"/>
      <c r="ONZ20"/>
      <c r="OOA20"/>
      <c r="OOB20"/>
      <c r="OOC20"/>
      <c r="OOD20"/>
      <c r="OOE20"/>
      <c r="OOF20" s="1"/>
      <c r="OOG20" s="1"/>
      <c r="OOH20" s="1"/>
      <c r="OOI20" s="120"/>
      <c r="OOJ20" s="120"/>
      <c r="OOK20" s="120"/>
      <c r="OOL20"/>
      <c r="OOM20"/>
      <c r="OON20"/>
      <c r="OOO20"/>
      <c r="OOP20"/>
      <c r="OOQ20"/>
      <c r="OOR20"/>
      <c r="OOS20"/>
      <c r="OOT20"/>
      <c r="OOU20"/>
      <c r="OOV20"/>
      <c r="OOW20" s="1"/>
      <c r="OOX20" s="1"/>
      <c r="OOY20" s="1"/>
      <c r="OOZ20" s="120"/>
      <c r="OPA20" s="120"/>
      <c r="OPB20" s="120"/>
      <c r="OPC20"/>
      <c r="OPD20"/>
      <c r="OPE20"/>
      <c r="OPF20"/>
      <c r="OPG20"/>
      <c r="OPH20"/>
      <c r="OPI20"/>
      <c r="OPJ20"/>
      <c r="OPK20"/>
      <c r="OPL20"/>
      <c r="OPM20"/>
      <c r="OPN20" s="1"/>
      <c r="OPO20" s="1"/>
      <c r="OPP20" s="1"/>
      <c r="OPQ20" s="120"/>
      <c r="OPR20" s="120"/>
      <c r="OPS20" s="120"/>
      <c r="OPT20"/>
      <c r="OPU20"/>
      <c r="OPV20"/>
      <c r="OPW20"/>
      <c r="OPX20"/>
      <c r="OPY20"/>
      <c r="OPZ20"/>
      <c r="OQA20"/>
      <c r="OQB20"/>
      <c r="OQC20"/>
      <c r="OQD20"/>
      <c r="OQE20" s="1"/>
      <c r="OQF20" s="1"/>
      <c r="OQG20" s="1"/>
      <c r="OQH20" s="120"/>
      <c r="OQI20" s="120"/>
      <c r="OQJ20" s="120"/>
      <c r="OQK20"/>
      <c r="OQL20"/>
      <c r="OQM20"/>
      <c r="OQN20"/>
      <c r="OQO20"/>
      <c r="OQP20"/>
      <c r="OQQ20"/>
      <c r="OQR20"/>
      <c r="OQS20"/>
      <c r="OQT20"/>
      <c r="OQU20"/>
      <c r="OQV20" s="1"/>
      <c r="OQW20" s="1"/>
      <c r="OQX20" s="1"/>
      <c r="OQY20" s="120"/>
      <c r="OQZ20" s="120"/>
      <c r="ORA20" s="120"/>
      <c r="ORB20"/>
      <c r="ORC20"/>
      <c r="ORD20"/>
      <c r="ORE20"/>
      <c r="ORF20"/>
      <c r="ORG20"/>
      <c r="ORH20"/>
      <c r="ORI20"/>
      <c r="ORJ20"/>
      <c r="ORK20"/>
      <c r="ORL20"/>
      <c r="ORM20" s="1"/>
      <c r="ORN20" s="1"/>
      <c r="ORO20" s="1"/>
      <c r="ORP20" s="120"/>
      <c r="ORQ20" s="120"/>
      <c r="ORR20" s="120"/>
      <c r="ORS20"/>
      <c r="ORT20"/>
      <c r="ORU20"/>
      <c r="ORV20"/>
      <c r="ORW20"/>
      <c r="ORX20"/>
      <c r="ORY20"/>
      <c r="ORZ20"/>
      <c r="OSA20"/>
      <c r="OSB20"/>
      <c r="OSC20"/>
      <c r="OSD20" s="1"/>
      <c r="OSE20" s="1"/>
      <c r="OSF20" s="1"/>
      <c r="OSG20" s="120"/>
      <c r="OSH20" s="120"/>
      <c r="OSI20" s="120"/>
      <c r="OSJ20"/>
      <c r="OSK20"/>
      <c r="OSL20"/>
      <c r="OSM20"/>
      <c r="OSN20"/>
      <c r="OSO20"/>
      <c r="OSP20"/>
      <c r="OSQ20"/>
      <c r="OSR20"/>
      <c r="OSS20"/>
      <c r="OST20"/>
      <c r="OSU20" s="1"/>
      <c r="OSV20" s="1"/>
      <c r="OSW20" s="1"/>
      <c r="OSX20" s="120"/>
      <c r="OSY20" s="120"/>
      <c r="OSZ20" s="120"/>
      <c r="OTA20"/>
      <c r="OTB20"/>
      <c r="OTC20"/>
      <c r="OTD20"/>
      <c r="OTE20"/>
      <c r="OTF20"/>
      <c r="OTG20"/>
      <c r="OTH20"/>
      <c r="OTI20"/>
      <c r="OTJ20"/>
      <c r="OTK20"/>
      <c r="OTL20" s="1"/>
      <c r="OTM20" s="1"/>
      <c r="OTN20" s="1"/>
      <c r="OTO20" s="120"/>
      <c r="OTP20" s="120"/>
      <c r="OTQ20" s="120"/>
      <c r="OTR20"/>
      <c r="OTS20"/>
      <c r="OTT20"/>
      <c r="OTU20"/>
      <c r="OTV20"/>
      <c r="OTW20"/>
      <c r="OTX20"/>
      <c r="OTY20"/>
      <c r="OTZ20"/>
      <c r="OUA20"/>
      <c r="OUB20"/>
      <c r="OUC20" s="1"/>
      <c r="OUD20" s="1"/>
      <c r="OUE20" s="1"/>
      <c r="OUF20" s="120"/>
      <c r="OUG20" s="120"/>
      <c r="OUH20" s="120"/>
      <c r="OUI20"/>
      <c r="OUJ20"/>
      <c r="OUK20"/>
      <c r="OUL20"/>
      <c r="OUM20"/>
      <c r="OUN20"/>
      <c r="OUO20"/>
      <c r="OUP20"/>
      <c r="OUQ20"/>
      <c r="OUR20"/>
      <c r="OUS20"/>
      <c r="OUT20" s="1"/>
      <c r="OUU20" s="1"/>
      <c r="OUV20" s="1"/>
      <c r="OUW20" s="120"/>
      <c r="OUX20" s="120"/>
      <c r="OUY20" s="120"/>
      <c r="OUZ20"/>
      <c r="OVA20"/>
      <c r="OVB20"/>
      <c r="OVC20"/>
      <c r="OVD20"/>
      <c r="OVE20"/>
      <c r="OVF20"/>
      <c r="OVG20"/>
      <c r="OVH20"/>
      <c r="OVI20"/>
      <c r="OVJ20"/>
      <c r="OVK20" s="1"/>
      <c r="OVL20" s="1"/>
      <c r="OVM20" s="1"/>
      <c r="OVN20" s="120"/>
      <c r="OVO20" s="120"/>
      <c r="OVP20" s="120"/>
      <c r="OVQ20"/>
      <c r="OVR20"/>
      <c r="OVS20"/>
      <c r="OVT20"/>
      <c r="OVU20"/>
      <c r="OVV20"/>
      <c r="OVW20"/>
      <c r="OVX20"/>
      <c r="OVY20"/>
      <c r="OVZ20"/>
      <c r="OWA20"/>
      <c r="OWB20" s="1"/>
      <c r="OWC20" s="1"/>
      <c r="OWD20" s="1"/>
      <c r="OWE20" s="120"/>
      <c r="OWF20" s="120"/>
      <c r="OWG20" s="120"/>
      <c r="OWH20"/>
      <c r="OWI20"/>
      <c r="OWJ20"/>
      <c r="OWK20"/>
      <c r="OWL20"/>
      <c r="OWM20"/>
      <c r="OWN20"/>
      <c r="OWO20"/>
      <c r="OWP20"/>
      <c r="OWQ20"/>
      <c r="OWR20"/>
      <c r="OWS20" s="1"/>
      <c r="OWT20" s="1"/>
      <c r="OWU20" s="1"/>
      <c r="OWV20" s="120"/>
      <c r="OWW20" s="120"/>
      <c r="OWX20" s="120"/>
      <c r="OWY20"/>
      <c r="OWZ20"/>
      <c r="OXA20"/>
      <c r="OXB20"/>
      <c r="OXC20"/>
      <c r="OXD20"/>
      <c r="OXE20"/>
      <c r="OXF20"/>
      <c r="OXG20"/>
      <c r="OXH20"/>
      <c r="OXI20"/>
      <c r="OXJ20" s="1"/>
      <c r="OXK20" s="1"/>
      <c r="OXL20" s="1"/>
      <c r="OXM20" s="120"/>
      <c r="OXN20" s="120"/>
      <c r="OXO20" s="120"/>
      <c r="OXP20"/>
      <c r="OXQ20"/>
      <c r="OXR20"/>
      <c r="OXS20"/>
      <c r="OXT20"/>
      <c r="OXU20"/>
      <c r="OXV20"/>
      <c r="OXW20"/>
      <c r="OXX20"/>
      <c r="OXY20"/>
      <c r="OXZ20"/>
      <c r="OYA20" s="1"/>
      <c r="OYB20" s="1"/>
      <c r="OYC20" s="1"/>
      <c r="OYD20" s="120"/>
      <c r="OYE20" s="120"/>
      <c r="OYF20" s="120"/>
      <c r="OYG20"/>
      <c r="OYH20"/>
      <c r="OYI20"/>
      <c r="OYJ20"/>
      <c r="OYK20"/>
      <c r="OYL20"/>
      <c r="OYM20"/>
      <c r="OYN20"/>
      <c r="OYO20"/>
      <c r="OYP20"/>
      <c r="OYQ20"/>
      <c r="OYR20" s="1"/>
      <c r="OYS20" s="1"/>
      <c r="OYT20" s="1"/>
      <c r="OYU20" s="120"/>
      <c r="OYV20" s="120"/>
      <c r="OYW20" s="120"/>
      <c r="OYX20"/>
      <c r="OYY20"/>
      <c r="OYZ20"/>
      <c r="OZA20"/>
      <c r="OZB20"/>
      <c r="OZC20"/>
      <c r="OZD20"/>
      <c r="OZE20"/>
      <c r="OZF20"/>
      <c r="OZG20"/>
      <c r="OZH20"/>
      <c r="OZI20" s="1"/>
      <c r="OZJ20" s="1"/>
      <c r="OZK20" s="1"/>
      <c r="OZL20" s="120"/>
      <c r="OZM20" s="120"/>
      <c r="OZN20" s="120"/>
      <c r="OZO20"/>
      <c r="OZP20"/>
      <c r="OZQ20"/>
      <c r="OZR20"/>
      <c r="OZS20"/>
      <c r="OZT20"/>
      <c r="OZU20"/>
      <c r="OZV20"/>
      <c r="OZW20"/>
      <c r="OZX20"/>
      <c r="OZY20"/>
      <c r="OZZ20" s="1"/>
      <c r="PAA20" s="1"/>
      <c r="PAB20" s="1"/>
      <c r="PAC20" s="120"/>
      <c r="PAD20" s="120"/>
      <c r="PAE20" s="120"/>
      <c r="PAF20"/>
      <c r="PAG20"/>
      <c r="PAH20"/>
      <c r="PAI20"/>
      <c r="PAJ20"/>
      <c r="PAK20"/>
      <c r="PAL20"/>
      <c r="PAM20"/>
      <c r="PAN20"/>
      <c r="PAO20"/>
      <c r="PAP20"/>
      <c r="PAQ20" s="1"/>
      <c r="PAR20" s="1"/>
      <c r="PAS20" s="1"/>
      <c r="PAT20" s="120"/>
      <c r="PAU20" s="120"/>
      <c r="PAV20" s="120"/>
      <c r="PAW20"/>
      <c r="PAX20"/>
      <c r="PAY20"/>
      <c r="PAZ20"/>
      <c r="PBA20"/>
      <c r="PBB20"/>
      <c r="PBC20"/>
      <c r="PBD20"/>
      <c r="PBE20"/>
      <c r="PBF20"/>
      <c r="PBG20"/>
      <c r="PBH20" s="1"/>
      <c r="PBI20" s="1"/>
      <c r="PBJ20" s="1"/>
      <c r="PBK20" s="120"/>
      <c r="PBL20" s="120"/>
      <c r="PBM20" s="120"/>
      <c r="PBN20"/>
      <c r="PBO20"/>
      <c r="PBP20"/>
      <c r="PBQ20"/>
      <c r="PBR20"/>
      <c r="PBS20"/>
      <c r="PBT20"/>
      <c r="PBU20"/>
      <c r="PBV20"/>
      <c r="PBW20"/>
      <c r="PBX20"/>
      <c r="PBY20" s="1"/>
      <c r="PBZ20" s="1"/>
      <c r="PCA20" s="1"/>
      <c r="PCB20" s="120"/>
      <c r="PCC20" s="120"/>
      <c r="PCD20" s="120"/>
      <c r="PCE20"/>
      <c r="PCF20"/>
      <c r="PCG20"/>
      <c r="PCH20"/>
      <c r="PCI20"/>
      <c r="PCJ20"/>
      <c r="PCK20"/>
      <c r="PCL20"/>
      <c r="PCM20"/>
      <c r="PCN20"/>
      <c r="PCO20"/>
      <c r="PCP20" s="1"/>
      <c r="PCQ20" s="1"/>
      <c r="PCR20" s="1"/>
      <c r="PCS20" s="120"/>
      <c r="PCT20" s="120"/>
      <c r="PCU20" s="120"/>
      <c r="PCV20"/>
      <c r="PCW20"/>
      <c r="PCX20"/>
      <c r="PCY20"/>
      <c r="PCZ20"/>
      <c r="PDA20"/>
      <c r="PDB20"/>
      <c r="PDC20"/>
      <c r="PDD20"/>
      <c r="PDE20"/>
      <c r="PDF20"/>
      <c r="PDG20" s="1"/>
      <c r="PDH20" s="1"/>
      <c r="PDI20" s="1"/>
      <c r="PDJ20" s="120"/>
      <c r="PDK20" s="120"/>
      <c r="PDL20" s="120"/>
      <c r="PDM20"/>
      <c r="PDN20"/>
      <c r="PDO20"/>
      <c r="PDP20"/>
      <c r="PDQ20"/>
      <c r="PDR20"/>
      <c r="PDS20"/>
      <c r="PDT20"/>
      <c r="PDU20"/>
      <c r="PDV20"/>
      <c r="PDW20"/>
      <c r="PDX20" s="1"/>
      <c r="PDY20" s="1"/>
      <c r="PDZ20" s="1"/>
      <c r="PEA20" s="120"/>
      <c r="PEB20" s="120"/>
      <c r="PEC20" s="120"/>
      <c r="PED20"/>
      <c r="PEE20"/>
      <c r="PEF20"/>
      <c r="PEG20"/>
      <c r="PEH20"/>
      <c r="PEI20"/>
      <c r="PEJ20"/>
      <c r="PEK20"/>
      <c r="PEL20"/>
      <c r="PEM20"/>
      <c r="PEN20"/>
      <c r="PEO20" s="1"/>
      <c r="PEP20" s="1"/>
      <c r="PEQ20" s="1"/>
      <c r="PER20" s="120"/>
      <c r="PES20" s="120"/>
      <c r="PET20" s="120"/>
      <c r="PEU20"/>
      <c r="PEV20"/>
      <c r="PEW20"/>
      <c r="PEX20"/>
      <c r="PEY20"/>
      <c r="PEZ20"/>
      <c r="PFA20"/>
      <c r="PFB20"/>
      <c r="PFC20"/>
      <c r="PFD20"/>
      <c r="PFE20"/>
      <c r="PFF20" s="1"/>
      <c r="PFG20" s="1"/>
      <c r="PFH20" s="1"/>
      <c r="PFI20" s="120"/>
      <c r="PFJ20" s="120"/>
      <c r="PFK20" s="120"/>
      <c r="PFL20"/>
      <c r="PFM20"/>
      <c r="PFN20"/>
      <c r="PFO20"/>
      <c r="PFP20"/>
      <c r="PFQ20"/>
      <c r="PFR20"/>
      <c r="PFS20"/>
      <c r="PFT20"/>
      <c r="PFU20"/>
      <c r="PFV20"/>
      <c r="PFW20" s="1"/>
      <c r="PFX20" s="1"/>
      <c r="PFY20" s="1"/>
      <c r="PFZ20" s="120"/>
      <c r="PGA20" s="120"/>
      <c r="PGB20" s="120"/>
      <c r="PGC20"/>
      <c r="PGD20"/>
      <c r="PGE20"/>
      <c r="PGF20"/>
      <c r="PGG20"/>
      <c r="PGH20"/>
      <c r="PGI20"/>
      <c r="PGJ20"/>
      <c r="PGK20"/>
      <c r="PGL20"/>
      <c r="PGM20"/>
      <c r="PGN20" s="1"/>
      <c r="PGO20" s="1"/>
      <c r="PGP20" s="1"/>
      <c r="PGQ20" s="120"/>
      <c r="PGR20" s="120"/>
      <c r="PGS20" s="120"/>
      <c r="PGT20"/>
      <c r="PGU20"/>
      <c r="PGV20"/>
      <c r="PGW20"/>
      <c r="PGX20"/>
      <c r="PGY20"/>
      <c r="PGZ20"/>
      <c r="PHA20"/>
      <c r="PHB20"/>
      <c r="PHC20"/>
      <c r="PHD20"/>
      <c r="PHE20" s="1"/>
      <c r="PHF20" s="1"/>
      <c r="PHG20" s="1"/>
      <c r="PHH20" s="120"/>
      <c r="PHI20" s="120"/>
      <c r="PHJ20" s="120"/>
      <c r="PHK20"/>
      <c r="PHL20"/>
      <c r="PHM20"/>
      <c r="PHN20"/>
      <c r="PHO20"/>
      <c r="PHP20"/>
      <c r="PHQ20"/>
      <c r="PHR20"/>
      <c r="PHS20"/>
      <c r="PHT20"/>
      <c r="PHU20"/>
      <c r="PHV20" s="1"/>
      <c r="PHW20" s="1"/>
      <c r="PHX20" s="1"/>
      <c r="PHY20" s="120"/>
      <c r="PHZ20" s="120"/>
      <c r="PIA20" s="120"/>
      <c r="PIB20"/>
      <c r="PIC20"/>
      <c r="PID20"/>
      <c r="PIE20"/>
      <c r="PIF20"/>
      <c r="PIG20"/>
      <c r="PIH20"/>
      <c r="PII20"/>
      <c r="PIJ20"/>
      <c r="PIK20"/>
      <c r="PIL20"/>
      <c r="PIM20" s="1"/>
      <c r="PIN20" s="1"/>
      <c r="PIO20" s="1"/>
      <c r="PIP20" s="120"/>
      <c r="PIQ20" s="120"/>
      <c r="PIR20" s="120"/>
      <c r="PIS20"/>
      <c r="PIT20"/>
      <c r="PIU20"/>
      <c r="PIV20"/>
      <c r="PIW20"/>
      <c r="PIX20"/>
      <c r="PIY20"/>
      <c r="PIZ20"/>
      <c r="PJA20"/>
      <c r="PJB20"/>
      <c r="PJC20"/>
      <c r="PJD20" s="1"/>
      <c r="PJE20" s="1"/>
      <c r="PJF20" s="1"/>
      <c r="PJG20" s="120"/>
      <c r="PJH20" s="120"/>
      <c r="PJI20" s="120"/>
      <c r="PJJ20"/>
      <c r="PJK20"/>
      <c r="PJL20"/>
      <c r="PJM20"/>
      <c r="PJN20"/>
      <c r="PJO20"/>
      <c r="PJP20"/>
      <c r="PJQ20"/>
      <c r="PJR20"/>
      <c r="PJS20"/>
      <c r="PJT20"/>
      <c r="PJU20" s="1"/>
      <c r="PJV20" s="1"/>
      <c r="PJW20" s="1"/>
      <c r="PJX20" s="120"/>
      <c r="PJY20" s="120"/>
      <c r="PJZ20" s="120"/>
      <c r="PKA20"/>
      <c r="PKB20"/>
      <c r="PKC20"/>
      <c r="PKD20"/>
      <c r="PKE20"/>
      <c r="PKF20"/>
      <c r="PKG20"/>
      <c r="PKH20"/>
      <c r="PKI20"/>
      <c r="PKJ20"/>
      <c r="PKK20"/>
      <c r="PKL20" s="1"/>
      <c r="PKM20" s="1"/>
      <c r="PKN20" s="1"/>
      <c r="PKO20" s="120"/>
      <c r="PKP20" s="120"/>
      <c r="PKQ20" s="120"/>
      <c r="PKR20"/>
      <c r="PKS20"/>
      <c r="PKT20"/>
      <c r="PKU20"/>
      <c r="PKV20"/>
      <c r="PKW20"/>
      <c r="PKX20"/>
      <c r="PKY20"/>
      <c r="PKZ20"/>
      <c r="PLA20"/>
      <c r="PLB20"/>
      <c r="PLC20" s="1"/>
      <c r="PLD20" s="1"/>
      <c r="PLE20" s="1"/>
      <c r="PLF20" s="120"/>
      <c r="PLG20" s="120"/>
      <c r="PLH20" s="120"/>
      <c r="PLI20"/>
      <c r="PLJ20"/>
      <c r="PLK20"/>
      <c r="PLL20"/>
      <c r="PLM20"/>
      <c r="PLN20"/>
      <c r="PLO20"/>
      <c r="PLP20"/>
      <c r="PLQ20"/>
      <c r="PLR20"/>
      <c r="PLS20"/>
      <c r="PLT20" s="1"/>
      <c r="PLU20" s="1"/>
      <c r="PLV20" s="1"/>
      <c r="PLW20" s="120"/>
      <c r="PLX20" s="120"/>
      <c r="PLY20" s="120"/>
      <c r="PLZ20"/>
      <c r="PMA20"/>
      <c r="PMB20"/>
      <c r="PMC20"/>
      <c r="PMD20"/>
      <c r="PME20"/>
      <c r="PMF20"/>
      <c r="PMG20"/>
      <c r="PMH20"/>
      <c r="PMI20"/>
      <c r="PMJ20"/>
      <c r="PMK20" s="1"/>
      <c r="PML20" s="1"/>
      <c r="PMM20" s="1"/>
      <c r="PMN20" s="120"/>
      <c r="PMO20" s="120"/>
      <c r="PMP20" s="120"/>
      <c r="PMQ20"/>
      <c r="PMR20"/>
      <c r="PMS20"/>
      <c r="PMT20"/>
      <c r="PMU20"/>
      <c r="PMV20"/>
      <c r="PMW20"/>
      <c r="PMX20"/>
      <c r="PMY20"/>
      <c r="PMZ20"/>
      <c r="PNA20"/>
      <c r="PNB20" s="1"/>
      <c r="PNC20" s="1"/>
      <c r="PND20" s="1"/>
      <c r="PNE20" s="120"/>
      <c r="PNF20" s="120"/>
      <c r="PNG20" s="120"/>
      <c r="PNH20"/>
      <c r="PNI20"/>
      <c r="PNJ20"/>
      <c r="PNK20"/>
      <c r="PNL20"/>
      <c r="PNM20"/>
      <c r="PNN20"/>
      <c r="PNO20"/>
      <c r="PNP20"/>
      <c r="PNQ20"/>
      <c r="PNR20"/>
      <c r="PNS20" s="1"/>
      <c r="PNT20" s="1"/>
      <c r="PNU20" s="1"/>
      <c r="PNV20" s="120"/>
      <c r="PNW20" s="120"/>
      <c r="PNX20" s="120"/>
      <c r="PNY20"/>
      <c r="PNZ20"/>
      <c r="POA20"/>
      <c r="POB20"/>
      <c r="POC20"/>
      <c r="POD20"/>
      <c r="POE20"/>
      <c r="POF20"/>
      <c r="POG20"/>
      <c r="POH20"/>
      <c r="POI20"/>
      <c r="POJ20" s="1"/>
      <c r="POK20" s="1"/>
      <c r="POL20" s="1"/>
      <c r="POM20" s="120"/>
      <c r="PON20" s="120"/>
      <c r="POO20" s="120"/>
      <c r="POP20"/>
      <c r="POQ20"/>
      <c r="POR20"/>
      <c r="POS20"/>
      <c r="POT20"/>
      <c r="POU20"/>
      <c r="POV20"/>
      <c r="POW20"/>
      <c r="POX20"/>
      <c r="POY20"/>
      <c r="POZ20"/>
      <c r="PPA20" s="1"/>
      <c r="PPB20" s="1"/>
      <c r="PPC20" s="1"/>
      <c r="PPD20" s="120"/>
      <c r="PPE20" s="120"/>
      <c r="PPF20" s="120"/>
      <c r="PPG20"/>
      <c r="PPH20"/>
      <c r="PPI20"/>
      <c r="PPJ20"/>
      <c r="PPK20"/>
      <c r="PPL20"/>
      <c r="PPM20"/>
      <c r="PPN20"/>
      <c r="PPO20"/>
      <c r="PPP20"/>
      <c r="PPQ20"/>
      <c r="PPR20" s="1"/>
      <c r="PPS20" s="1"/>
      <c r="PPT20" s="1"/>
      <c r="PPU20" s="120"/>
      <c r="PPV20" s="120"/>
      <c r="PPW20" s="120"/>
      <c r="PPX20"/>
      <c r="PPY20"/>
      <c r="PPZ20"/>
      <c r="PQA20"/>
      <c r="PQB20"/>
      <c r="PQC20"/>
      <c r="PQD20"/>
      <c r="PQE20"/>
      <c r="PQF20"/>
      <c r="PQG20"/>
      <c r="PQH20"/>
      <c r="PQI20" s="1"/>
      <c r="PQJ20" s="1"/>
      <c r="PQK20" s="1"/>
      <c r="PQL20" s="120"/>
      <c r="PQM20" s="120"/>
      <c r="PQN20" s="120"/>
      <c r="PQO20"/>
      <c r="PQP20"/>
      <c r="PQQ20"/>
      <c r="PQR20"/>
      <c r="PQS20"/>
      <c r="PQT20"/>
      <c r="PQU20"/>
      <c r="PQV20"/>
      <c r="PQW20"/>
      <c r="PQX20"/>
      <c r="PQY20"/>
      <c r="PQZ20" s="1"/>
      <c r="PRA20" s="1"/>
      <c r="PRB20" s="1"/>
      <c r="PRC20" s="120"/>
      <c r="PRD20" s="120"/>
      <c r="PRE20" s="120"/>
      <c r="PRF20"/>
      <c r="PRG20"/>
      <c r="PRH20"/>
      <c r="PRI20"/>
      <c r="PRJ20"/>
      <c r="PRK20"/>
      <c r="PRL20"/>
      <c r="PRM20"/>
      <c r="PRN20"/>
      <c r="PRO20"/>
      <c r="PRP20"/>
      <c r="PRQ20" s="1"/>
      <c r="PRR20" s="1"/>
      <c r="PRS20" s="1"/>
      <c r="PRT20" s="120"/>
      <c r="PRU20" s="120"/>
      <c r="PRV20" s="120"/>
      <c r="PRW20"/>
      <c r="PRX20"/>
      <c r="PRY20"/>
      <c r="PRZ20"/>
      <c r="PSA20"/>
      <c r="PSB20"/>
      <c r="PSC20"/>
      <c r="PSD20"/>
      <c r="PSE20"/>
      <c r="PSF20"/>
      <c r="PSG20"/>
      <c r="PSH20" s="1"/>
      <c r="PSI20" s="1"/>
      <c r="PSJ20" s="1"/>
      <c r="PSK20" s="120"/>
      <c r="PSL20" s="120"/>
      <c r="PSM20" s="120"/>
      <c r="PSN20"/>
      <c r="PSO20"/>
      <c r="PSP20"/>
      <c r="PSQ20"/>
      <c r="PSR20"/>
      <c r="PSS20"/>
      <c r="PST20"/>
      <c r="PSU20"/>
      <c r="PSV20"/>
      <c r="PSW20"/>
      <c r="PSX20"/>
      <c r="PSY20" s="1"/>
      <c r="PSZ20" s="1"/>
      <c r="PTA20" s="1"/>
      <c r="PTB20" s="120"/>
      <c r="PTC20" s="120"/>
      <c r="PTD20" s="120"/>
      <c r="PTE20"/>
      <c r="PTF20"/>
      <c r="PTG20"/>
      <c r="PTH20"/>
      <c r="PTI20"/>
      <c r="PTJ20"/>
      <c r="PTK20"/>
      <c r="PTL20"/>
      <c r="PTM20"/>
      <c r="PTN20"/>
      <c r="PTO20"/>
      <c r="PTP20" s="1"/>
      <c r="PTQ20" s="1"/>
      <c r="PTR20" s="1"/>
      <c r="PTS20" s="120"/>
      <c r="PTT20" s="120"/>
      <c r="PTU20" s="120"/>
      <c r="PTV20"/>
      <c r="PTW20"/>
      <c r="PTX20"/>
      <c r="PTY20"/>
      <c r="PTZ20"/>
      <c r="PUA20"/>
      <c r="PUB20"/>
      <c r="PUC20"/>
      <c r="PUD20"/>
      <c r="PUE20"/>
      <c r="PUF20"/>
      <c r="PUG20" s="1"/>
      <c r="PUH20" s="1"/>
      <c r="PUI20" s="1"/>
      <c r="PUJ20" s="120"/>
      <c r="PUK20" s="120"/>
      <c r="PUL20" s="120"/>
      <c r="PUM20"/>
      <c r="PUN20"/>
      <c r="PUO20"/>
      <c r="PUP20"/>
      <c r="PUQ20"/>
      <c r="PUR20"/>
      <c r="PUS20"/>
      <c r="PUT20"/>
      <c r="PUU20"/>
      <c r="PUV20"/>
      <c r="PUW20"/>
      <c r="PUX20" s="1"/>
      <c r="PUY20" s="1"/>
      <c r="PUZ20" s="1"/>
      <c r="PVA20" s="120"/>
      <c r="PVB20" s="120"/>
      <c r="PVC20" s="120"/>
      <c r="PVD20"/>
      <c r="PVE20"/>
      <c r="PVF20"/>
      <c r="PVG20"/>
      <c r="PVH20"/>
      <c r="PVI20"/>
      <c r="PVJ20"/>
      <c r="PVK20"/>
      <c r="PVL20"/>
      <c r="PVM20"/>
      <c r="PVN20"/>
      <c r="PVO20" s="1"/>
      <c r="PVP20" s="1"/>
      <c r="PVQ20" s="1"/>
      <c r="PVR20" s="120"/>
      <c r="PVS20" s="120"/>
      <c r="PVT20" s="120"/>
      <c r="PVU20"/>
      <c r="PVV20"/>
      <c r="PVW20"/>
      <c r="PVX20"/>
      <c r="PVY20"/>
      <c r="PVZ20"/>
      <c r="PWA20"/>
      <c r="PWB20"/>
      <c r="PWC20"/>
      <c r="PWD20"/>
      <c r="PWE20"/>
      <c r="PWF20" s="1"/>
      <c r="PWG20" s="1"/>
      <c r="PWH20" s="1"/>
      <c r="PWI20" s="120"/>
      <c r="PWJ20" s="120"/>
      <c r="PWK20" s="120"/>
      <c r="PWL20"/>
      <c r="PWM20"/>
      <c r="PWN20"/>
      <c r="PWO20"/>
      <c r="PWP20"/>
      <c r="PWQ20"/>
      <c r="PWR20"/>
      <c r="PWS20"/>
      <c r="PWT20"/>
      <c r="PWU20"/>
      <c r="PWV20"/>
      <c r="PWW20" s="1"/>
      <c r="PWX20" s="1"/>
      <c r="PWY20" s="1"/>
      <c r="PWZ20" s="120"/>
      <c r="PXA20" s="120"/>
      <c r="PXB20" s="120"/>
      <c r="PXC20"/>
      <c r="PXD20"/>
      <c r="PXE20"/>
      <c r="PXF20"/>
      <c r="PXG20"/>
      <c r="PXH20"/>
      <c r="PXI20"/>
      <c r="PXJ20"/>
      <c r="PXK20"/>
      <c r="PXL20"/>
      <c r="PXM20"/>
      <c r="PXN20" s="1"/>
      <c r="PXO20" s="1"/>
      <c r="PXP20" s="1"/>
      <c r="PXQ20" s="120"/>
      <c r="PXR20" s="120"/>
      <c r="PXS20" s="120"/>
      <c r="PXT20"/>
      <c r="PXU20"/>
      <c r="PXV20"/>
      <c r="PXW20"/>
      <c r="PXX20"/>
      <c r="PXY20"/>
      <c r="PXZ20"/>
      <c r="PYA20"/>
      <c r="PYB20"/>
      <c r="PYC20"/>
      <c r="PYD20"/>
      <c r="PYE20" s="1"/>
      <c r="PYF20" s="1"/>
      <c r="PYG20" s="1"/>
      <c r="PYH20" s="120"/>
      <c r="PYI20" s="120"/>
      <c r="PYJ20" s="120"/>
      <c r="PYK20"/>
      <c r="PYL20"/>
      <c r="PYM20"/>
      <c r="PYN20"/>
      <c r="PYO20"/>
      <c r="PYP20"/>
      <c r="PYQ20"/>
      <c r="PYR20"/>
      <c r="PYS20"/>
      <c r="PYT20"/>
      <c r="PYU20"/>
      <c r="PYV20" s="1"/>
      <c r="PYW20" s="1"/>
      <c r="PYX20" s="1"/>
      <c r="PYY20" s="120"/>
      <c r="PYZ20" s="120"/>
      <c r="PZA20" s="120"/>
      <c r="PZB20"/>
      <c r="PZC20"/>
      <c r="PZD20"/>
      <c r="PZE20"/>
      <c r="PZF20"/>
      <c r="PZG20"/>
      <c r="PZH20"/>
      <c r="PZI20"/>
      <c r="PZJ20"/>
      <c r="PZK20"/>
      <c r="PZL20"/>
      <c r="PZM20" s="1"/>
      <c r="PZN20" s="1"/>
      <c r="PZO20" s="1"/>
      <c r="PZP20" s="120"/>
      <c r="PZQ20" s="120"/>
      <c r="PZR20" s="120"/>
      <c r="PZS20"/>
      <c r="PZT20"/>
      <c r="PZU20"/>
      <c r="PZV20"/>
      <c r="PZW20"/>
      <c r="PZX20"/>
      <c r="PZY20"/>
      <c r="PZZ20"/>
      <c r="QAA20"/>
      <c r="QAB20"/>
      <c r="QAC20"/>
      <c r="QAD20" s="1"/>
      <c r="QAE20" s="1"/>
      <c r="QAF20" s="1"/>
      <c r="QAG20" s="120"/>
      <c r="QAH20" s="120"/>
      <c r="QAI20" s="120"/>
      <c r="QAJ20"/>
      <c r="QAK20"/>
      <c r="QAL20"/>
      <c r="QAM20"/>
      <c r="QAN20"/>
      <c r="QAO20"/>
      <c r="QAP20"/>
      <c r="QAQ20"/>
      <c r="QAR20"/>
      <c r="QAS20"/>
      <c r="QAT20"/>
      <c r="QAU20" s="1"/>
      <c r="QAV20" s="1"/>
      <c r="QAW20" s="1"/>
      <c r="QAX20" s="120"/>
      <c r="QAY20" s="120"/>
      <c r="QAZ20" s="120"/>
      <c r="QBA20"/>
      <c r="QBB20"/>
      <c r="QBC20"/>
      <c r="QBD20"/>
      <c r="QBE20"/>
      <c r="QBF20"/>
      <c r="QBG20"/>
      <c r="QBH20"/>
      <c r="QBI20"/>
      <c r="QBJ20"/>
      <c r="QBK20"/>
      <c r="QBL20" s="1"/>
      <c r="QBM20" s="1"/>
      <c r="QBN20" s="1"/>
      <c r="QBO20" s="120"/>
      <c r="QBP20" s="120"/>
      <c r="QBQ20" s="120"/>
      <c r="QBR20"/>
      <c r="QBS20"/>
      <c r="QBT20"/>
      <c r="QBU20"/>
      <c r="QBV20"/>
      <c r="QBW20"/>
      <c r="QBX20"/>
      <c r="QBY20"/>
      <c r="QBZ20"/>
      <c r="QCA20"/>
      <c r="QCB20"/>
      <c r="QCC20" s="1"/>
      <c r="QCD20" s="1"/>
      <c r="QCE20" s="1"/>
      <c r="QCF20" s="120"/>
      <c r="QCG20" s="120"/>
      <c r="QCH20" s="120"/>
      <c r="QCI20"/>
      <c r="QCJ20"/>
      <c r="QCK20"/>
      <c r="QCL20"/>
      <c r="QCM20"/>
      <c r="QCN20"/>
      <c r="QCO20"/>
      <c r="QCP20"/>
      <c r="QCQ20"/>
      <c r="QCR20"/>
      <c r="QCS20"/>
      <c r="QCT20" s="1"/>
      <c r="QCU20" s="1"/>
      <c r="QCV20" s="1"/>
      <c r="QCW20" s="120"/>
      <c r="QCX20" s="120"/>
      <c r="QCY20" s="120"/>
      <c r="QCZ20"/>
      <c r="QDA20"/>
      <c r="QDB20"/>
      <c r="QDC20"/>
      <c r="QDD20"/>
      <c r="QDE20"/>
      <c r="QDF20"/>
      <c r="QDG20"/>
      <c r="QDH20"/>
      <c r="QDI20"/>
      <c r="QDJ20"/>
      <c r="QDK20" s="1"/>
      <c r="QDL20" s="1"/>
      <c r="QDM20" s="1"/>
      <c r="QDN20" s="120"/>
      <c r="QDO20" s="120"/>
      <c r="QDP20" s="120"/>
      <c r="QDQ20"/>
      <c r="QDR20"/>
      <c r="QDS20"/>
      <c r="QDT20"/>
      <c r="QDU20"/>
      <c r="QDV20"/>
      <c r="QDW20"/>
      <c r="QDX20"/>
      <c r="QDY20"/>
      <c r="QDZ20"/>
      <c r="QEA20"/>
      <c r="QEB20" s="1"/>
      <c r="QEC20" s="1"/>
      <c r="QED20" s="1"/>
      <c r="QEE20" s="120"/>
      <c r="QEF20" s="120"/>
      <c r="QEG20" s="120"/>
      <c r="QEH20"/>
      <c r="QEI20"/>
      <c r="QEJ20"/>
      <c r="QEK20"/>
      <c r="QEL20"/>
      <c r="QEM20"/>
      <c r="QEN20"/>
      <c r="QEO20"/>
      <c r="QEP20"/>
      <c r="QEQ20"/>
      <c r="QER20"/>
      <c r="QES20" s="1"/>
      <c r="QET20" s="1"/>
      <c r="QEU20" s="1"/>
      <c r="QEV20" s="120"/>
      <c r="QEW20" s="120"/>
      <c r="QEX20" s="120"/>
      <c r="QEY20"/>
      <c r="QEZ20"/>
      <c r="QFA20"/>
      <c r="QFB20"/>
      <c r="QFC20"/>
      <c r="QFD20"/>
      <c r="QFE20"/>
      <c r="QFF20"/>
      <c r="QFG20"/>
      <c r="QFH20"/>
      <c r="QFI20"/>
      <c r="QFJ20" s="1"/>
      <c r="QFK20" s="1"/>
      <c r="QFL20" s="1"/>
      <c r="QFM20" s="120"/>
      <c r="QFN20" s="120"/>
      <c r="QFO20" s="120"/>
      <c r="QFP20"/>
      <c r="QFQ20"/>
      <c r="QFR20"/>
      <c r="QFS20"/>
      <c r="QFT20"/>
      <c r="QFU20"/>
      <c r="QFV20"/>
      <c r="QFW20"/>
      <c r="QFX20"/>
      <c r="QFY20"/>
      <c r="QFZ20"/>
      <c r="QGA20" s="1"/>
      <c r="QGB20" s="1"/>
      <c r="QGC20" s="1"/>
      <c r="QGD20" s="120"/>
      <c r="QGE20" s="120"/>
      <c r="QGF20" s="120"/>
      <c r="QGG20"/>
      <c r="QGH20"/>
      <c r="QGI20"/>
      <c r="QGJ20"/>
      <c r="QGK20"/>
      <c r="QGL20"/>
      <c r="QGM20"/>
      <c r="QGN20"/>
      <c r="QGO20"/>
      <c r="QGP20"/>
      <c r="QGQ20"/>
      <c r="QGR20" s="1"/>
      <c r="QGS20" s="1"/>
      <c r="QGT20" s="1"/>
      <c r="QGU20" s="120"/>
      <c r="QGV20" s="120"/>
      <c r="QGW20" s="120"/>
      <c r="QGX20"/>
      <c r="QGY20"/>
      <c r="QGZ20"/>
      <c r="QHA20"/>
      <c r="QHB20"/>
      <c r="QHC20"/>
      <c r="QHD20"/>
      <c r="QHE20"/>
      <c r="QHF20"/>
      <c r="QHG20"/>
      <c r="QHH20"/>
      <c r="QHI20" s="1"/>
      <c r="QHJ20" s="1"/>
      <c r="QHK20" s="1"/>
      <c r="QHL20" s="120"/>
      <c r="QHM20" s="120"/>
      <c r="QHN20" s="120"/>
      <c r="QHO20"/>
      <c r="QHP20"/>
      <c r="QHQ20"/>
      <c r="QHR20"/>
      <c r="QHS20"/>
      <c r="QHT20"/>
      <c r="QHU20"/>
      <c r="QHV20"/>
      <c r="QHW20"/>
      <c r="QHX20"/>
      <c r="QHY20"/>
      <c r="QHZ20" s="1"/>
      <c r="QIA20" s="1"/>
      <c r="QIB20" s="1"/>
      <c r="QIC20" s="120"/>
      <c r="QID20" s="120"/>
      <c r="QIE20" s="120"/>
      <c r="QIF20"/>
      <c r="QIG20"/>
      <c r="QIH20"/>
      <c r="QII20"/>
      <c r="QIJ20"/>
      <c r="QIK20"/>
      <c r="QIL20"/>
      <c r="QIM20"/>
      <c r="QIN20"/>
      <c r="QIO20"/>
      <c r="QIP20"/>
      <c r="QIQ20" s="1"/>
      <c r="QIR20" s="1"/>
      <c r="QIS20" s="1"/>
      <c r="QIT20" s="120"/>
      <c r="QIU20" s="120"/>
      <c r="QIV20" s="120"/>
      <c r="QIW20"/>
      <c r="QIX20"/>
      <c r="QIY20"/>
      <c r="QIZ20"/>
      <c r="QJA20"/>
      <c r="QJB20"/>
      <c r="QJC20"/>
      <c r="QJD20"/>
      <c r="QJE20"/>
      <c r="QJF20"/>
      <c r="QJG20"/>
      <c r="QJH20" s="1"/>
      <c r="QJI20" s="1"/>
      <c r="QJJ20" s="1"/>
      <c r="QJK20" s="120"/>
      <c r="QJL20" s="120"/>
      <c r="QJM20" s="120"/>
      <c r="QJN20"/>
      <c r="QJO20"/>
      <c r="QJP20"/>
      <c r="QJQ20"/>
      <c r="QJR20"/>
      <c r="QJS20"/>
      <c r="QJT20"/>
      <c r="QJU20"/>
      <c r="QJV20"/>
      <c r="QJW20"/>
      <c r="QJX20"/>
      <c r="QJY20" s="1"/>
      <c r="QJZ20" s="1"/>
      <c r="QKA20" s="1"/>
      <c r="QKB20" s="120"/>
      <c r="QKC20" s="120"/>
      <c r="QKD20" s="120"/>
      <c r="QKE20"/>
      <c r="QKF20"/>
      <c r="QKG20"/>
      <c r="QKH20"/>
      <c r="QKI20"/>
      <c r="QKJ20"/>
      <c r="QKK20"/>
      <c r="QKL20"/>
      <c r="QKM20"/>
      <c r="QKN20"/>
      <c r="QKO20"/>
      <c r="QKP20" s="1"/>
      <c r="QKQ20" s="1"/>
      <c r="QKR20" s="1"/>
      <c r="QKS20" s="120"/>
      <c r="QKT20" s="120"/>
      <c r="QKU20" s="120"/>
      <c r="QKV20"/>
      <c r="QKW20"/>
      <c r="QKX20"/>
      <c r="QKY20"/>
      <c r="QKZ20"/>
      <c r="QLA20"/>
      <c r="QLB20"/>
      <c r="QLC20"/>
      <c r="QLD20"/>
      <c r="QLE20"/>
      <c r="QLF20"/>
      <c r="QLG20" s="1"/>
      <c r="QLH20" s="1"/>
      <c r="QLI20" s="1"/>
      <c r="QLJ20" s="120"/>
      <c r="QLK20" s="120"/>
      <c r="QLL20" s="120"/>
      <c r="QLM20"/>
      <c r="QLN20"/>
      <c r="QLO20"/>
      <c r="QLP20"/>
      <c r="QLQ20"/>
      <c r="QLR20"/>
      <c r="QLS20"/>
      <c r="QLT20"/>
      <c r="QLU20"/>
      <c r="QLV20"/>
      <c r="QLW20"/>
      <c r="QLX20" s="1"/>
      <c r="QLY20" s="1"/>
      <c r="QLZ20" s="1"/>
      <c r="QMA20" s="120"/>
      <c r="QMB20" s="120"/>
      <c r="QMC20" s="120"/>
      <c r="QMD20"/>
      <c r="QME20"/>
      <c r="QMF20"/>
      <c r="QMG20"/>
      <c r="QMH20"/>
      <c r="QMI20"/>
      <c r="QMJ20"/>
      <c r="QMK20"/>
      <c r="QML20"/>
      <c r="QMM20"/>
      <c r="QMN20"/>
      <c r="QMO20" s="1"/>
      <c r="QMP20" s="1"/>
      <c r="QMQ20" s="1"/>
      <c r="QMR20" s="120"/>
      <c r="QMS20" s="120"/>
      <c r="QMT20" s="120"/>
      <c r="QMU20"/>
      <c r="QMV20"/>
      <c r="QMW20"/>
      <c r="QMX20"/>
      <c r="QMY20"/>
      <c r="QMZ20"/>
      <c r="QNA20"/>
      <c r="QNB20"/>
      <c r="QNC20"/>
      <c r="QND20"/>
      <c r="QNE20"/>
      <c r="QNF20" s="1"/>
      <c r="QNG20" s="1"/>
      <c r="QNH20" s="1"/>
      <c r="QNI20" s="120"/>
      <c r="QNJ20" s="120"/>
      <c r="QNK20" s="120"/>
      <c r="QNL20"/>
      <c r="QNM20"/>
      <c r="QNN20"/>
      <c r="QNO20"/>
      <c r="QNP20"/>
      <c r="QNQ20"/>
      <c r="QNR20"/>
      <c r="QNS20"/>
      <c r="QNT20"/>
      <c r="QNU20"/>
      <c r="QNV20"/>
      <c r="QNW20" s="1"/>
      <c r="QNX20" s="1"/>
      <c r="QNY20" s="1"/>
      <c r="QNZ20" s="120"/>
      <c r="QOA20" s="120"/>
      <c r="QOB20" s="120"/>
      <c r="QOC20"/>
      <c r="QOD20"/>
      <c r="QOE20"/>
      <c r="QOF20"/>
      <c r="QOG20"/>
      <c r="QOH20"/>
      <c r="QOI20"/>
      <c r="QOJ20"/>
      <c r="QOK20"/>
      <c r="QOL20"/>
      <c r="QOM20"/>
      <c r="QON20" s="1"/>
      <c r="QOO20" s="1"/>
      <c r="QOP20" s="1"/>
      <c r="QOQ20" s="120"/>
      <c r="QOR20" s="120"/>
      <c r="QOS20" s="120"/>
      <c r="QOT20"/>
      <c r="QOU20"/>
      <c r="QOV20"/>
      <c r="QOW20"/>
      <c r="QOX20"/>
      <c r="QOY20"/>
      <c r="QOZ20"/>
      <c r="QPA20"/>
      <c r="QPB20"/>
      <c r="QPC20"/>
      <c r="QPD20"/>
      <c r="QPE20" s="1"/>
      <c r="QPF20" s="1"/>
      <c r="QPG20" s="1"/>
      <c r="QPH20" s="120"/>
      <c r="QPI20" s="120"/>
      <c r="QPJ20" s="120"/>
      <c r="QPK20"/>
      <c r="QPL20"/>
      <c r="QPM20"/>
      <c r="QPN20"/>
      <c r="QPO20"/>
      <c r="QPP20"/>
      <c r="QPQ20"/>
      <c r="QPR20"/>
      <c r="QPS20"/>
      <c r="QPT20"/>
      <c r="QPU20"/>
      <c r="QPV20" s="1"/>
      <c r="QPW20" s="1"/>
      <c r="QPX20" s="1"/>
      <c r="QPY20" s="120"/>
      <c r="QPZ20" s="120"/>
      <c r="QQA20" s="120"/>
      <c r="QQB20"/>
      <c r="QQC20"/>
      <c r="QQD20"/>
      <c r="QQE20"/>
      <c r="QQF20"/>
      <c r="QQG20"/>
      <c r="QQH20"/>
      <c r="QQI20"/>
      <c r="QQJ20"/>
      <c r="QQK20"/>
      <c r="QQL20"/>
      <c r="QQM20" s="1"/>
      <c r="QQN20" s="1"/>
      <c r="QQO20" s="1"/>
      <c r="QQP20" s="120"/>
      <c r="QQQ20" s="120"/>
      <c r="QQR20" s="120"/>
      <c r="QQS20"/>
      <c r="QQT20"/>
      <c r="QQU20"/>
      <c r="QQV20"/>
      <c r="QQW20"/>
      <c r="QQX20"/>
      <c r="QQY20"/>
      <c r="QQZ20"/>
      <c r="QRA20"/>
      <c r="QRB20"/>
      <c r="QRC20"/>
      <c r="QRD20" s="1"/>
      <c r="QRE20" s="1"/>
      <c r="QRF20" s="1"/>
      <c r="QRG20" s="120"/>
      <c r="QRH20" s="120"/>
      <c r="QRI20" s="120"/>
      <c r="QRJ20"/>
      <c r="QRK20"/>
      <c r="QRL20"/>
      <c r="QRM20"/>
      <c r="QRN20"/>
      <c r="QRO20"/>
      <c r="QRP20"/>
      <c r="QRQ20"/>
      <c r="QRR20"/>
      <c r="QRS20"/>
      <c r="QRT20"/>
      <c r="QRU20" s="1"/>
      <c r="QRV20" s="1"/>
      <c r="QRW20" s="1"/>
      <c r="QRX20" s="120"/>
      <c r="QRY20" s="120"/>
      <c r="QRZ20" s="120"/>
      <c r="QSA20"/>
      <c r="QSB20"/>
      <c r="QSC20"/>
      <c r="QSD20"/>
      <c r="QSE20"/>
      <c r="QSF20"/>
      <c r="QSG20"/>
      <c r="QSH20"/>
      <c r="QSI20"/>
      <c r="QSJ20"/>
      <c r="QSK20"/>
      <c r="QSL20" s="1"/>
      <c r="QSM20" s="1"/>
      <c r="QSN20" s="1"/>
      <c r="QSO20" s="120"/>
      <c r="QSP20" s="120"/>
      <c r="QSQ20" s="120"/>
      <c r="QSR20"/>
      <c r="QSS20"/>
      <c r="QST20"/>
      <c r="QSU20"/>
      <c r="QSV20"/>
      <c r="QSW20"/>
      <c r="QSX20"/>
      <c r="QSY20"/>
      <c r="QSZ20"/>
      <c r="QTA20"/>
      <c r="QTB20"/>
      <c r="QTC20" s="1"/>
      <c r="QTD20" s="1"/>
      <c r="QTE20" s="1"/>
      <c r="QTF20" s="120"/>
      <c r="QTG20" s="120"/>
      <c r="QTH20" s="120"/>
      <c r="QTI20"/>
      <c r="QTJ20"/>
      <c r="QTK20"/>
      <c r="QTL20"/>
      <c r="QTM20"/>
      <c r="QTN20"/>
      <c r="QTO20"/>
      <c r="QTP20"/>
      <c r="QTQ20"/>
      <c r="QTR20"/>
      <c r="QTS20"/>
      <c r="QTT20" s="1"/>
      <c r="QTU20" s="1"/>
      <c r="QTV20" s="1"/>
      <c r="QTW20" s="120"/>
      <c r="QTX20" s="120"/>
      <c r="QTY20" s="120"/>
      <c r="QTZ20"/>
      <c r="QUA20"/>
      <c r="QUB20"/>
      <c r="QUC20"/>
      <c r="QUD20"/>
      <c r="QUE20"/>
      <c r="QUF20"/>
      <c r="QUG20"/>
      <c r="QUH20"/>
      <c r="QUI20"/>
      <c r="QUJ20"/>
      <c r="QUK20" s="1"/>
      <c r="QUL20" s="1"/>
      <c r="QUM20" s="1"/>
      <c r="QUN20" s="120"/>
      <c r="QUO20" s="120"/>
      <c r="QUP20" s="120"/>
      <c r="QUQ20"/>
      <c r="QUR20"/>
      <c r="QUS20"/>
      <c r="QUT20"/>
      <c r="QUU20"/>
      <c r="QUV20"/>
      <c r="QUW20"/>
      <c r="QUX20"/>
      <c r="QUY20"/>
      <c r="QUZ20"/>
      <c r="QVA20"/>
      <c r="QVB20" s="1"/>
      <c r="QVC20" s="1"/>
      <c r="QVD20" s="1"/>
      <c r="QVE20" s="120"/>
      <c r="QVF20" s="120"/>
      <c r="QVG20" s="120"/>
      <c r="QVH20"/>
      <c r="QVI20"/>
      <c r="QVJ20"/>
      <c r="QVK20"/>
      <c r="QVL20"/>
      <c r="QVM20"/>
      <c r="QVN20"/>
      <c r="QVO20"/>
      <c r="QVP20"/>
      <c r="QVQ20"/>
      <c r="QVR20"/>
      <c r="QVS20" s="1"/>
      <c r="QVT20" s="1"/>
      <c r="QVU20" s="1"/>
      <c r="QVV20" s="120"/>
      <c r="QVW20" s="120"/>
      <c r="QVX20" s="120"/>
      <c r="QVY20"/>
      <c r="QVZ20"/>
      <c r="QWA20"/>
      <c r="QWB20"/>
      <c r="QWC20"/>
      <c r="QWD20"/>
      <c r="QWE20"/>
      <c r="QWF20"/>
      <c r="QWG20"/>
      <c r="QWH20"/>
      <c r="QWI20"/>
      <c r="QWJ20" s="1"/>
      <c r="QWK20" s="1"/>
      <c r="QWL20" s="1"/>
      <c r="QWM20" s="120"/>
      <c r="QWN20" s="120"/>
      <c r="QWO20" s="120"/>
      <c r="QWP20"/>
      <c r="QWQ20"/>
      <c r="QWR20"/>
      <c r="QWS20"/>
      <c r="QWT20"/>
      <c r="QWU20"/>
      <c r="QWV20"/>
      <c r="QWW20"/>
      <c r="QWX20"/>
      <c r="QWY20"/>
      <c r="QWZ20"/>
      <c r="QXA20" s="1"/>
      <c r="QXB20" s="1"/>
      <c r="QXC20" s="1"/>
      <c r="QXD20" s="120"/>
      <c r="QXE20" s="120"/>
      <c r="QXF20" s="120"/>
      <c r="QXG20"/>
      <c r="QXH20"/>
      <c r="QXI20"/>
      <c r="QXJ20"/>
      <c r="QXK20"/>
      <c r="QXL20"/>
      <c r="QXM20"/>
      <c r="QXN20"/>
      <c r="QXO20"/>
      <c r="QXP20"/>
      <c r="QXQ20"/>
      <c r="QXR20" s="1"/>
      <c r="QXS20" s="1"/>
      <c r="QXT20" s="1"/>
      <c r="QXU20" s="120"/>
      <c r="QXV20" s="120"/>
      <c r="QXW20" s="120"/>
      <c r="QXX20"/>
      <c r="QXY20"/>
      <c r="QXZ20"/>
      <c r="QYA20"/>
      <c r="QYB20"/>
      <c r="QYC20"/>
      <c r="QYD20"/>
      <c r="QYE20"/>
      <c r="QYF20"/>
      <c r="QYG20"/>
      <c r="QYH20"/>
      <c r="QYI20" s="1"/>
      <c r="QYJ20" s="1"/>
      <c r="QYK20" s="1"/>
      <c r="QYL20" s="120"/>
      <c r="QYM20" s="120"/>
      <c r="QYN20" s="120"/>
      <c r="QYO20"/>
      <c r="QYP20"/>
      <c r="QYQ20"/>
      <c r="QYR20"/>
      <c r="QYS20"/>
      <c r="QYT20"/>
      <c r="QYU20"/>
      <c r="QYV20"/>
      <c r="QYW20"/>
      <c r="QYX20"/>
      <c r="QYY20"/>
      <c r="QYZ20" s="1"/>
      <c r="QZA20" s="1"/>
      <c r="QZB20" s="1"/>
      <c r="QZC20" s="120"/>
      <c r="QZD20" s="120"/>
      <c r="QZE20" s="120"/>
      <c r="QZF20"/>
      <c r="QZG20"/>
      <c r="QZH20"/>
      <c r="QZI20"/>
      <c r="QZJ20"/>
      <c r="QZK20"/>
      <c r="QZL20"/>
      <c r="QZM20"/>
      <c r="QZN20"/>
      <c r="QZO20"/>
      <c r="QZP20"/>
      <c r="QZQ20" s="1"/>
      <c r="QZR20" s="1"/>
      <c r="QZS20" s="1"/>
      <c r="QZT20" s="120"/>
      <c r="QZU20" s="120"/>
      <c r="QZV20" s="120"/>
      <c r="QZW20"/>
      <c r="QZX20"/>
      <c r="QZY20"/>
      <c r="QZZ20"/>
      <c r="RAA20"/>
      <c r="RAB20"/>
      <c r="RAC20"/>
      <c r="RAD20"/>
      <c r="RAE20"/>
      <c r="RAF20"/>
      <c r="RAG20"/>
      <c r="RAH20" s="1"/>
      <c r="RAI20" s="1"/>
      <c r="RAJ20" s="1"/>
      <c r="RAK20" s="120"/>
      <c r="RAL20" s="120"/>
      <c r="RAM20" s="120"/>
      <c r="RAN20"/>
      <c r="RAO20"/>
      <c r="RAP20"/>
      <c r="RAQ20"/>
      <c r="RAR20"/>
      <c r="RAS20"/>
      <c r="RAT20"/>
      <c r="RAU20"/>
      <c r="RAV20"/>
      <c r="RAW20"/>
      <c r="RAX20"/>
      <c r="RAY20" s="1"/>
      <c r="RAZ20" s="1"/>
      <c r="RBA20" s="1"/>
      <c r="RBB20" s="120"/>
      <c r="RBC20" s="120"/>
      <c r="RBD20" s="120"/>
      <c r="RBE20"/>
      <c r="RBF20"/>
      <c r="RBG20"/>
      <c r="RBH20"/>
      <c r="RBI20"/>
      <c r="RBJ20"/>
      <c r="RBK20"/>
      <c r="RBL20"/>
      <c r="RBM20"/>
      <c r="RBN20"/>
      <c r="RBO20"/>
      <c r="RBP20" s="1"/>
      <c r="RBQ20" s="1"/>
      <c r="RBR20" s="1"/>
      <c r="RBS20" s="120"/>
      <c r="RBT20" s="120"/>
      <c r="RBU20" s="120"/>
      <c r="RBV20"/>
      <c r="RBW20"/>
      <c r="RBX20"/>
      <c r="RBY20"/>
      <c r="RBZ20"/>
      <c r="RCA20"/>
      <c r="RCB20"/>
      <c r="RCC20"/>
      <c r="RCD20"/>
      <c r="RCE20"/>
      <c r="RCF20"/>
      <c r="RCG20" s="1"/>
      <c r="RCH20" s="1"/>
      <c r="RCI20" s="1"/>
      <c r="RCJ20" s="120"/>
      <c r="RCK20" s="120"/>
      <c r="RCL20" s="120"/>
      <c r="RCM20"/>
      <c r="RCN20"/>
      <c r="RCO20"/>
      <c r="RCP20"/>
      <c r="RCQ20"/>
      <c r="RCR20"/>
      <c r="RCS20"/>
      <c r="RCT20"/>
      <c r="RCU20"/>
      <c r="RCV20"/>
      <c r="RCW20"/>
      <c r="RCX20" s="1"/>
      <c r="RCY20" s="1"/>
      <c r="RCZ20" s="1"/>
      <c r="RDA20" s="120"/>
      <c r="RDB20" s="120"/>
      <c r="RDC20" s="120"/>
      <c r="RDD20"/>
      <c r="RDE20"/>
      <c r="RDF20"/>
      <c r="RDG20"/>
      <c r="RDH20"/>
      <c r="RDI20"/>
      <c r="RDJ20"/>
      <c r="RDK20"/>
      <c r="RDL20"/>
      <c r="RDM20"/>
      <c r="RDN20"/>
      <c r="RDO20" s="1"/>
      <c r="RDP20" s="1"/>
      <c r="RDQ20" s="1"/>
      <c r="RDR20" s="120"/>
      <c r="RDS20" s="120"/>
      <c r="RDT20" s="120"/>
      <c r="RDU20"/>
      <c r="RDV20"/>
      <c r="RDW20"/>
      <c r="RDX20"/>
      <c r="RDY20"/>
      <c r="RDZ20"/>
      <c r="REA20"/>
      <c r="REB20"/>
      <c r="REC20"/>
      <c r="RED20"/>
      <c r="REE20"/>
      <c r="REF20" s="1"/>
      <c r="REG20" s="1"/>
      <c r="REH20" s="1"/>
      <c r="REI20" s="120"/>
      <c r="REJ20" s="120"/>
      <c r="REK20" s="120"/>
      <c r="REL20"/>
      <c r="REM20"/>
      <c r="REN20"/>
      <c r="REO20"/>
      <c r="REP20"/>
      <c r="REQ20"/>
      <c r="RER20"/>
      <c r="RES20"/>
      <c r="RET20"/>
      <c r="REU20"/>
      <c r="REV20"/>
      <c r="REW20" s="1"/>
      <c r="REX20" s="1"/>
      <c r="REY20" s="1"/>
      <c r="REZ20" s="120"/>
      <c r="RFA20" s="120"/>
      <c r="RFB20" s="120"/>
      <c r="RFC20"/>
      <c r="RFD20"/>
      <c r="RFE20"/>
      <c r="RFF20"/>
      <c r="RFG20"/>
      <c r="RFH20"/>
      <c r="RFI20"/>
      <c r="RFJ20"/>
      <c r="RFK20"/>
      <c r="RFL20"/>
      <c r="RFM20"/>
      <c r="RFN20" s="1"/>
      <c r="RFO20" s="1"/>
      <c r="RFP20" s="1"/>
      <c r="RFQ20" s="120"/>
      <c r="RFR20" s="120"/>
      <c r="RFS20" s="120"/>
      <c r="RFT20"/>
      <c r="RFU20"/>
      <c r="RFV20"/>
      <c r="RFW20"/>
      <c r="RFX20"/>
      <c r="RFY20"/>
      <c r="RFZ20"/>
      <c r="RGA20"/>
      <c r="RGB20"/>
      <c r="RGC20"/>
      <c r="RGD20"/>
      <c r="RGE20" s="1"/>
      <c r="RGF20" s="1"/>
      <c r="RGG20" s="1"/>
      <c r="RGH20" s="120"/>
      <c r="RGI20" s="120"/>
      <c r="RGJ20" s="120"/>
      <c r="RGK20"/>
      <c r="RGL20"/>
      <c r="RGM20"/>
      <c r="RGN20"/>
      <c r="RGO20"/>
      <c r="RGP20"/>
      <c r="RGQ20"/>
      <c r="RGR20"/>
      <c r="RGS20"/>
      <c r="RGT20"/>
      <c r="RGU20"/>
      <c r="RGV20" s="1"/>
      <c r="RGW20" s="1"/>
      <c r="RGX20" s="1"/>
      <c r="RGY20" s="120"/>
      <c r="RGZ20" s="120"/>
      <c r="RHA20" s="120"/>
      <c r="RHB20"/>
      <c r="RHC20"/>
      <c r="RHD20"/>
      <c r="RHE20"/>
      <c r="RHF20"/>
      <c r="RHG20"/>
      <c r="RHH20"/>
      <c r="RHI20"/>
      <c r="RHJ20"/>
      <c r="RHK20"/>
      <c r="RHL20"/>
      <c r="RHM20" s="1"/>
      <c r="RHN20" s="1"/>
      <c r="RHO20" s="1"/>
      <c r="RHP20" s="120"/>
      <c r="RHQ20" s="120"/>
      <c r="RHR20" s="120"/>
      <c r="RHS20"/>
      <c r="RHT20"/>
      <c r="RHU20"/>
      <c r="RHV20"/>
      <c r="RHW20"/>
      <c r="RHX20"/>
      <c r="RHY20"/>
      <c r="RHZ20"/>
      <c r="RIA20"/>
      <c r="RIB20"/>
      <c r="RIC20"/>
      <c r="RID20" s="1"/>
      <c r="RIE20" s="1"/>
      <c r="RIF20" s="1"/>
      <c r="RIG20" s="120"/>
      <c r="RIH20" s="120"/>
      <c r="RII20" s="120"/>
      <c r="RIJ20"/>
      <c r="RIK20"/>
      <c r="RIL20"/>
      <c r="RIM20"/>
      <c r="RIN20"/>
      <c r="RIO20"/>
      <c r="RIP20"/>
      <c r="RIQ20"/>
      <c r="RIR20"/>
      <c r="RIS20"/>
      <c r="RIT20"/>
      <c r="RIU20" s="1"/>
      <c r="RIV20" s="1"/>
      <c r="RIW20" s="1"/>
      <c r="RIX20" s="120"/>
      <c r="RIY20" s="120"/>
      <c r="RIZ20" s="120"/>
      <c r="RJA20"/>
      <c r="RJB20"/>
      <c r="RJC20"/>
      <c r="RJD20"/>
      <c r="RJE20"/>
      <c r="RJF20"/>
      <c r="RJG20"/>
      <c r="RJH20"/>
      <c r="RJI20"/>
      <c r="RJJ20"/>
      <c r="RJK20"/>
      <c r="RJL20" s="1"/>
      <c r="RJM20" s="1"/>
      <c r="RJN20" s="1"/>
      <c r="RJO20" s="120"/>
      <c r="RJP20" s="120"/>
      <c r="RJQ20" s="120"/>
      <c r="RJR20"/>
      <c r="RJS20"/>
      <c r="RJT20"/>
      <c r="RJU20"/>
      <c r="RJV20"/>
      <c r="RJW20"/>
      <c r="RJX20"/>
      <c r="RJY20"/>
      <c r="RJZ20"/>
      <c r="RKA20"/>
      <c r="RKB20"/>
      <c r="RKC20" s="1"/>
      <c r="RKD20" s="1"/>
      <c r="RKE20" s="1"/>
      <c r="RKF20" s="120"/>
      <c r="RKG20" s="120"/>
      <c r="RKH20" s="120"/>
      <c r="RKI20"/>
      <c r="RKJ20"/>
      <c r="RKK20"/>
      <c r="RKL20"/>
      <c r="RKM20"/>
      <c r="RKN20"/>
      <c r="RKO20"/>
      <c r="RKP20"/>
      <c r="RKQ20"/>
      <c r="RKR20"/>
      <c r="RKS20"/>
      <c r="RKT20" s="1"/>
      <c r="RKU20" s="1"/>
      <c r="RKV20" s="1"/>
      <c r="RKW20" s="120"/>
      <c r="RKX20" s="120"/>
      <c r="RKY20" s="120"/>
      <c r="RKZ20"/>
      <c r="RLA20"/>
      <c r="RLB20"/>
      <c r="RLC20"/>
      <c r="RLD20"/>
      <c r="RLE20"/>
      <c r="RLF20"/>
      <c r="RLG20"/>
      <c r="RLH20"/>
      <c r="RLI20"/>
      <c r="RLJ20"/>
      <c r="RLK20" s="1"/>
      <c r="RLL20" s="1"/>
      <c r="RLM20" s="1"/>
      <c r="RLN20" s="120"/>
      <c r="RLO20" s="120"/>
      <c r="RLP20" s="120"/>
      <c r="RLQ20"/>
      <c r="RLR20"/>
      <c r="RLS20"/>
      <c r="RLT20"/>
      <c r="RLU20"/>
      <c r="RLV20"/>
      <c r="RLW20"/>
      <c r="RLX20"/>
      <c r="RLY20"/>
      <c r="RLZ20"/>
      <c r="RMA20"/>
      <c r="RMB20" s="1"/>
      <c r="RMC20" s="1"/>
      <c r="RMD20" s="1"/>
      <c r="RME20" s="120"/>
      <c r="RMF20" s="120"/>
      <c r="RMG20" s="120"/>
      <c r="RMH20"/>
      <c r="RMI20"/>
      <c r="RMJ20"/>
      <c r="RMK20"/>
      <c r="RML20"/>
      <c r="RMM20"/>
      <c r="RMN20"/>
      <c r="RMO20"/>
      <c r="RMP20"/>
      <c r="RMQ20"/>
      <c r="RMR20"/>
      <c r="RMS20" s="1"/>
      <c r="RMT20" s="1"/>
      <c r="RMU20" s="1"/>
      <c r="RMV20" s="120"/>
      <c r="RMW20" s="120"/>
      <c r="RMX20" s="120"/>
      <c r="RMY20"/>
      <c r="RMZ20"/>
      <c r="RNA20"/>
      <c r="RNB20"/>
      <c r="RNC20"/>
      <c r="RND20"/>
      <c r="RNE20"/>
      <c r="RNF20"/>
      <c r="RNG20"/>
      <c r="RNH20"/>
      <c r="RNI20"/>
      <c r="RNJ20" s="1"/>
      <c r="RNK20" s="1"/>
      <c r="RNL20" s="1"/>
      <c r="RNM20" s="120"/>
      <c r="RNN20" s="120"/>
      <c r="RNO20" s="120"/>
      <c r="RNP20"/>
      <c r="RNQ20"/>
      <c r="RNR20"/>
      <c r="RNS20"/>
      <c r="RNT20"/>
      <c r="RNU20"/>
      <c r="RNV20"/>
      <c r="RNW20"/>
      <c r="RNX20"/>
      <c r="RNY20"/>
      <c r="RNZ20"/>
      <c r="ROA20" s="1"/>
      <c r="ROB20" s="1"/>
      <c r="ROC20" s="1"/>
      <c r="ROD20" s="120"/>
      <c r="ROE20" s="120"/>
      <c r="ROF20" s="120"/>
      <c r="ROG20"/>
      <c r="ROH20"/>
      <c r="ROI20"/>
      <c r="ROJ20"/>
      <c r="ROK20"/>
      <c r="ROL20"/>
      <c r="ROM20"/>
      <c r="RON20"/>
      <c r="ROO20"/>
      <c r="ROP20"/>
      <c r="ROQ20"/>
      <c r="ROR20" s="1"/>
      <c r="ROS20" s="1"/>
      <c r="ROT20" s="1"/>
      <c r="ROU20" s="120"/>
      <c r="ROV20" s="120"/>
      <c r="ROW20" s="120"/>
      <c r="ROX20"/>
      <c r="ROY20"/>
      <c r="ROZ20"/>
      <c r="RPA20"/>
      <c r="RPB20"/>
      <c r="RPC20"/>
      <c r="RPD20"/>
      <c r="RPE20"/>
      <c r="RPF20"/>
      <c r="RPG20"/>
      <c r="RPH20"/>
      <c r="RPI20" s="1"/>
      <c r="RPJ20" s="1"/>
      <c r="RPK20" s="1"/>
      <c r="RPL20" s="120"/>
      <c r="RPM20" s="120"/>
      <c r="RPN20" s="120"/>
      <c r="RPO20"/>
      <c r="RPP20"/>
      <c r="RPQ20"/>
      <c r="RPR20"/>
      <c r="RPS20"/>
      <c r="RPT20"/>
      <c r="RPU20"/>
      <c r="RPV20"/>
      <c r="RPW20"/>
      <c r="RPX20"/>
      <c r="RPY20"/>
      <c r="RPZ20" s="1"/>
      <c r="RQA20" s="1"/>
      <c r="RQB20" s="1"/>
      <c r="RQC20" s="120"/>
      <c r="RQD20" s="120"/>
      <c r="RQE20" s="120"/>
      <c r="RQF20"/>
      <c r="RQG20"/>
      <c r="RQH20"/>
      <c r="RQI20"/>
      <c r="RQJ20"/>
      <c r="RQK20"/>
      <c r="RQL20"/>
      <c r="RQM20"/>
      <c r="RQN20"/>
      <c r="RQO20"/>
      <c r="RQP20"/>
      <c r="RQQ20" s="1"/>
      <c r="RQR20" s="1"/>
      <c r="RQS20" s="1"/>
      <c r="RQT20" s="120"/>
      <c r="RQU20" s="120"/>
      <c r="RQV20" s="120"/>
      <c r="RQW20"/>
      <c r="RQX20"/>
      <c r="RQY20"/>
      <c r="RQZ20"/>
      <c r="RRA20"/>
      <c r="RRB20"/>
      <c r="RRC20"/>
      <c r="RRD20"/>
      <c r="RRE20"/>
      <c r="RRF20"/>
      <c r="RRG20"/>
      <c r="RRH20" s="1"/>
      <c r="RRI20" s="1"/>
      <c r="RRJ20" s="1"/>
      <c r="RRK20" s="120"/>
      <c r="RRL20" s="120"/>
      <c r="RRM20" s="120"/>
      <c r="RRN20"/>
      <c r="RRO20"/>
      <c r="RRP20"/>
      <c r="RRQ20"/>
      <c r="RRR20"/>
      <c r="RRS20"/>
      <c r="RRT20"/>
      <c r="RRU20"/>
      <c r="RRV20"/>
      <c r="RRW20"/>
      <c r="RRX20"/>
      <c r="RRY20" s="1"/>
      <c r="RRZ20" s="1"/>
      <c r="RSA20" s="1"/>
      <c r="RSB20" s="120"/>
      <c r="RSC20" s="120"/>
      <c r="RSD20" s="120"/>
      <c r="RSE20"/>
      <c r="RSF20"/>
      <c r="RSG20"/>
      <c r="RSH20"/>
      <c r="RSI20"/>
      <c r="RSJ20"/>
      <c r="RSK20"/>
      <c r="RSL20"/>
      <c r="RSM20"/>
      <c r="RSN20"/>
      <c r="RSO20"/>
      <c r="RSP20" s="1"/>
      <c r="RSQ20" s="1"/>
      <c r="RSR20" s="1"/>
      <c r="RSS20" s="120"/>
      <c r="RST20" s="120"/>
      <c r="RSU20" s="120"/>
      <c r="RSV20"/>
      <c r="RSW20"/>
      <c r="RSX20"/>
      <c r="RSY20"/>
      <c r="RSZ20"/>
      <c r="RTA20"/>
      <c r="RTB20"/>
      <c r="RTC20"/>
      <c r="RTD20"/>
      <c r="RTE20"/>
      <c r="RTF20"/>
      <c r="RTG20" s="1"/>
      <c r="RTH20" s="1"/>
      <c r="RTI20" s="1"/>
      <c r="RTJ20" s="120"/>
      <c r="RTK20" s="120"/>
      <c r="RTL20" s="120"/>
      <c r="RTM20"/>
      <c r="RTN20"/>
      <c r="RTO20"/>
      <c r="RTP20"/>
      <c r="RTQ20"/>
      <c r="RTR20"/>
      <c r="RTS20"/>
      <c r="RTT20"/>
      <c r="RTU20"/>
      <c r="RTV20"/>
      <c r="RTW20"/>
      <c r="RTX20" s="1"/>
      <c r="RTY20" s="1"/>
      <c r="RTZ20" s="1"/>
      <c r="RUA20" s="120"/>
      <c r="RUB20" s="120"/>
      <c r="RUC20" s="120"/>
      <c r="RUD20"/>
      <c r="RUE20"/>
      <c r="RUF20"/>
      <c r="RUG20"/>
      <c r="RUH20"/>
      <c r="RUI20"/>
      <c r="RUJ20"/>
      <c r="RUK20"/>
      <c r="RUL20"/>
      <c r="RUM20"/>
      <c r="RUN20"/>
      <c r="RUO20" s="1"/>
      <c r="RUP20" s="1"/>
      <c r="RUQ20" s="1"/>
      <c r="RUR20" s="120"/>
      <c r="RUS20" s="120"/>
      <c r="RUT20" s="120"/>
      <c r="RUU20"/>
      <c r="RUV20"/>
      <c r="RUW20"/>
      <c r="RUX20"/>
      <c r="RUY20"/>
      <c r="RUZ20"/>
      <c r="RVA20"/>
      <c r="RVB20"/>
      <c r="RVC20"/>
      <c r="RVD20"/>
      <c r="RVE20"/>
      <c r="RVF20" s="1"/>
      <c r="RVG20" s="1"/>
      <c r="RVH20" s="1"/>
      <c r="RVI20" s="120"/>
      <c r="RVJ20" s="120"/>
      <c r="RVK20" s="120"/>
      <c r="RVL20"/>
      <c r="RVM20"/>
      <c r="RVN20"/>
      <c r="RVO20"/>
      <c r="RVP20"/>
      <c r="RVQ20"/>
      <c r="RVR20"/>
      <c r="RVS20"/>
      <c r="RVT20"/>
      <c r="RVU20"/>
      <c r="RVV20"/>
      <c r="RVW20" s="1"/>
      <c r="RVX20" s="1"/>
      <c r="RVY20" s="1"/>
      <c r="RVZ20" s="120"/>
      <c r="RWA20" s="120"/>
      <c r="RWB20" s="120"/>
      <c r="RWC20"/>
      <c r="RWD20"/>
      <c r="RWE20"/>
      <c r="RWF20"/>
      <c r="RWG20"/>
      <c r="RWH20"/>
      <c r="RWI20"/>
      <c r="RWJ20"/>
      <c r="RWK20"/>
      <c r="RWL20"/>
      <c r="RWM20"/>
      <c r="RWN20" s="1"/>
      <c r="RWO20" s="1"/>
      <c r="RWP20" s="1"/>
      <c r="RWQ20" s="120"/>
      <c r="RWR20" s="120"/>
      <c r="RWS20" s="120"/>
      <c r="RWT20"/>
      <c r="RWU20"/>
      <c r="RWV20"/>
      <c r="RWW20"/>
      <c r="RWX20"/>
      <c r="RWY20"/>
      <c r="RWZ20"/>
      <c r="RXA20"/>
      <c r="RXB20"/>
      <c r="RXC20"/>
      <c r="RXD20"/>
      <c r="RXE20" s="1"/>
      <c r="RXF20" s="1"/>
      <c r="RXG20" s="1"/>
      <c r="RXH20" s="120"/>
      <c r="RXI20" s="120"/>
      <c r="RXJ20" s="120"/>
      <c r="RXK20"/>
      <c r="RXL20"/>
      <c r="RXM20"/>
      <c r="RXN20"/>
      <c r="RXO20"/>
      <c r="RXP20"/>
      <c r="RXQ20"/>
      <c r="RXR20"/>
      <c r="RXS20"/>
      <c r="RXT20"/>
      <c r="RXU20"/>
      <c r="RXV20" s="1"/>
      <c r="RXW20" s="1"/>
      <c r="RXX20" s="1"/>
      <c r="RXY20" s="120"/>
      <c r="RXZ20" s="120"/>
      <c r="RYA20" s="120"/>
      <c r="RYB20"/>
      <c r="RYC20"/>
      <c r="RYD20"/>
      <c r="RYE20"/>
      <c r="RYF20"/>
      <c r="RYG20"/>
      <c r="RYH20"/>
      <c r="RYI20"/>
      <c r="RYJ20"/>
      <c r="RYK20"/>
      <c r="RYL20"/>
      <c r="RYM20" s="1"/>
      <c r="RYN20" s="1"/>
      <c r="RYO20" s="1"/>
      <c r="RYP20" s="120"/>
      <c r="RYQ20" s="120"/>
      <c r="RYR20" s="120"/>
      <c r="RYS20"/>
      <c r="RYT20"/>
      <c r="RYU20"/>
      <c r="RYV20"/>
      <c r="RYW20"/>
      <c r="RYX20"/>
      <c r="RYY20"/>
      <c r="RYZ20"/>
      <c r="RZA20"/>
      <c r="RZB20"/>
      <c r="RZC20"/>
      <c r="RZD20" s="1"/>
      <c r="RZE20" s="1"/>
      <c r="RZF20" s="1"/>
      <c r="RZG20" s="120"/>
      <c r="RZH20" s="120"/>
      <c r="RZI20" s="120"/>
      <c r="RZJ20"/>
      <c r="RZK20"/>
      <c r="RZL20"/>
      <c r="RZM20"/>
      <c r="RZN20"/>
      <c r="RZO20"/>
      <c r="RZP20"/>
      <c r="RZQ20"/>
      <c r="RZR20"/>
      <c r="RZS20"/>
      <c r="RZT20"/>
      <c r="RZU20" s="1"/>
      <c r="RZV20" s="1"/>
      <c r="RZW20" s="1"/>
      <c r="RZX20" s="120"/>
      <c r="RZY20" s="120"/>
      <c r="RZZ20" s="120"/>
      <c r="SAA20"/>
      <c r="SAB20"/>
      <c r="SAC20"/>
      <c r="SAD20"/>
      <c r="SAE20"/>
      <c r="SAF20"/>
      <c r="SAG20"/>
      <c r="SAH20"/>
      <c r="SAI20"/>
      <c r="SAJ20"/>
      <c r="SAK20"/>
      <c r="SAL20" s="1"/>
      <c r="SAM20" s="1"/>
      <c r="SAN20" s="1"/>
      <c r="SAO20" s="120"/>
      <c r="SAP20" s="120"/>
      <c r="SAQ20" s="120"/>
      <c r="SAR20"/>
      <c r="SAS20"/>
      <c r="SAT20"/>
      <c r="SAU20"/>
      <c r="SAV20"/>
      <c r="SAW20"/>
      <c r="SAX20"/>
      <c r="SAY20"/>
      <c r="SAZ20"/>
      <c r="SBA20"/>
      <c r="SBB20"/>
      <c r="SBC20" s="1"/>
      <c r="SBD20" s="1"/>
      <c r="SBE20" s="1"/>
      <c r="SBF20" s="120"/>
      <c r="SBG20" s="120"/>
      <c r="SBH20" s="120"/>
      <c r="SBI20"/>
      <c r="SBJ20"/>
      <c r="SBK20"/>
      <c r="SBL20"/>
      <c r="SBM20"/>
      <c r="SBN20"/>
      <c r="SBO20"/>
      <c r="SBP20"/>
      <c r="SBQ20"/>
      <c r="SBR20"/>
      <c r="SBS20"/>
      <c r="SBT20" s="1"/>
      <c r="SBU20" s="1"/>
      <c r="SBV20" s="1"/>
      <c r="SBW20" s="120"/>
      <c r="SBX20" s="120"/>
      <c r="SBY20" s="120"/>
      <c r="SBZ20"/>
      <c r="SCA20"/>
      <c r="SCB20"/>
      <c r="SCC20"/>
      <c r="SCD20"/>
      <c r="SCE20"/>
      <c r="SCF20"/>
      <c r="SCG20"/>
      <c r="SCH20"/>
      <c r="SCI20"/>
      <c r="SCJ20"/>
      <c r="SCK20" s="1"/>
      <c r="SCL20" s="1"/>
      <c r="SCM20" s="1"/>
      <c r="SCN20" s="120"/>
      <c r="SCO20" s="120"/>
      <c r="SCP20" s="120"/>
      <c r="SCQ20"/>
      <c r="SCR20"/>
      <c r="SCS20"/>
      <c r="SCT20"/>
      <c r="SCU20"/>
      <c r="SCV20"/>
      <c r="SCW20"/>
      <c r="SCX20"/>
      <c r="SCY20"/>
      <c r="SCZ20"/>
      <c r="SDA20"/>
      <c r="SDB20" s="1"/>
      <c r="SDC20" s="1"/>
      <c r="SDD20" s="1"/>
      <c r="SDE20" s="120"/>
      <c r="SDF20" s="120"/>
      <c r="SDG20" s="120"/>
      <c r="SDH20"/>
      <c r="SDI20"/>
      <c r="SDJ20"/>
      <c r="SDK20"/>
      <c r="SDL20"/>
      <c r="SDM20"/>
      <c r="SDN20"/>
      <c r="SDO20"/>
      <c r="SDP20"/>
      <c r="SDQ20"/>
      <c r="SDR20"/>
      <c r="SDS20" s="1"/>
      <c r="SDT20" s="1"/>
      <c r="SDU20" s="1"/>
      <c r="SDV20" s="120"/>
      <c r="SDW20" s="120"/>
      <c r="SDX20" s="120"/>
      <c r="SDY20"/>
      <c r="SDZ20"/>
      <c r="SEA20"/>
      <c r="SEB20"/>
      <c r="SEC20"/>
      <c r="SED20"/>
      <c r="SEE20"/>
      <c r="SEF20"/>
      <c r="SEG20"/>
      <c r="SEH20"/>
      <c r="SEI20"/>
      <c r="SEJ20" s="1"/>
      <c r="SEK20" s="1"/>
      <c r="SEL20" s="1"/>
      <c r="SEM20" s="120"/>
      <c r="SEN20" s="120"/>
      <c r="SEO20" s="120"/>
      <c r="SEP20"/>
      <c r="SEQ20"/>
      <c r="SER20"/>
      <c r="SES20"/>
      <c r="SET20"/>
      <c r="SEU20"/>
      <c r="SEV20"/>
      <c r="SEW20"/>
      <c r="SEX20"/>
      <c r="SEY20"/>
      <c r="SEZ20"/>
      <c r="SFA20" s="1"/>
      <c r="SFB20" s="1"/>
      <c r="SFC20" s="1"/>
      <c r="SFD20" s="120"/>
      <c r="SFE20" s="120"/>
      <c r="SFF20" s="120"/>
      <c r="SFG20"/>
      <c r="SFH20"/>
      <c r="SFI20"/>
      <c r="SFJ20"/>
      <c r="SFK20"/>
      <c r="SFL20"/>
      <c r="SFM20"/>
      <c r="SFN20"/>
      <c r="SFO20"/>
      <c r="SFP20"/>
      <c r="SFQ20"/>
      <c r="SFR20" s="1"/>
      <c r="SFS20" s="1"/>
      <c r="SFT20" s="1"/>
      <c r="SFU20" s="120"/>
      <c r="SFV20" s="120"/>
      <c r="SFW20" s="120"/>
      <c r="SFX20"/>
      <c r="SFY20"/>
      <c r="SFZ20"/>
      <c r="SGA20"/>
      <c r="SGB20"/>
      <c r="SGC20"/>
      <c r="SGD20"/>
      <c r="SGE20"/>
      <c r="SGF20"/>
      <c r="SGG20"/>
      <c r="SGH20"/>
      <c r="SGI20" s="1"/>
      <c r="SGJ20" s="1"/>
      <c r="SGK20" s="1"/>
      <c r="SGL20" s="120"/>
      <c r="SGM20" s="120"/>
      <c r="SGN20" s="120"/>
      <c r="SGO20"/>
      <c r="SGP20"/>
      <c r="SGQ20"/>
      <c r="SGR20"/>
      <c r="SGS20"/>
      <c r="SGT20"/>
      <c r="SGU20"/>
      <c r="SGV20"/>
      <c r="SGW20"/>
      <c r="SGX20"/>
      <c r="SGY20"/>
      <c r="SGZ20" s="1"/>
      <c r="SHA20" s="1"/>
      <c r="SHB20" s="1"/>
      <c r="SHC20" s="120"/>
      <c r="SHD20" s="120"/>
      <c r="SHE20" s="120"/>
      <c r="SHF20"/>
      <c r="SHG20"/>
      <c r="SHH20"/>
      <c r="SHI20"/>
      <c r="SHJ20"/>
      <c r="SHK20"/>
      <c r="SHL20"/>
      <c r="SHM20"/>
      <c r="SHN20"/>
      <c r="SHO20"/>
      <c r="SHP20"/>
      <c r="SHQ20" s="1"/>
      <c r="SHR20" s="1"/>
      <c r="SHS20" s="1"/>
      <c r="SHT20" s="120"/>
      <c r="SHU20" s="120"/>
      <c r="SHV20" s="120"/>
      <c r="SHW20"/>
      <c r="SHX20"/>
      <c r="SHY20"/>
      <c r="SHZ20"/>
      <c r="SIA20"/>
      <c r="SIB20"/>
      <c r="SIC20"/>
      <c r="SID20"/>
      <c r="SIE20"/>
      <c r="SIF20"/>
      <c r="SIG20"/>
      <c r="SIH20" s="1"/>
      <c r="SII20" s="1"/>
      <c r="SIJ20" s="1"/>
      <c r="SIK20" s="120"/>
      <c r="SIL20" s="120"/>
      <c r="SIM20" s="120"/>
      <c r="SIN20"/>
      <c r="SIO20"/>
      <c r="SIP20"/>
      <c r="SIQ20"/>
      <c r="SIR20"/>
      <c r="SIS20"/>
      <c r="SIT20"/>
      <c r="SIU20"/>
      <c r="SIV20"/>
      <c r="SIW20"/>
      <c r="SIX20"/>
      <c r="SIY20" s="1"/>
      <c r="SIZ20" s="1"/>
      <c r="SJA20" s="1"/>
      <c r="SJB20" s="120"/>
      <c r="SJC20" s="120"/>
      <c r="SJD20" s="120"/>
      <c r="SJE20"/>
      <c r="SJF20"/>
      <c r="SJG20"/>
      <c r="SJH20"/>
      <c r="SJI20"/>
      <c r="SJJ20"/>
      <c r="SJK20"/>
      <c r="SJL20"/>
      <c r="SJM20"/>
      <c r="SJN20"/>
      <c r="SJO20"/>
      <c r="SJP20" s="1"/>
      <c r="SJQ20" s="1"/>
      <c r="SJR20" s="1"/>
      <c r="SJS20" s="120"/>
      <c r="SJT20" s="120"/>
      <c r="SJU20" s="120"/>
      <c r="SJV20"/>
      <c r="SJW20"/>
      <c r="SJX20"/>
      <c r="SJY20"/>
      <c r="SJZ20"/>
      <c r="SKA20"/>
      <c r="SKB20"/>
      <c r="SKC20"/>
      <c r="SKD20"/>
      <c r="SKE20"/>
      <c r="SKF20"/>
      <c r="SKG20" s="1"/>
      <c r="SKH20" s="1"/>
      <c r="SKI20" s="1"/>
      <c r="SKJ20" s="120"/>
      <c r="SKK20" s="120"/>
      <c r="SKL20" s="120"/>
      <c r="SKM20"/>
      <c r="SKN20"/>
      <c r="SKO20"/>
      <c r="SKP20"/>
      <c r="SKQ20"/>
      <c r="SKR20"/>
      <c r="SKS20"/>
      <c r="SKT20"/>
      <c r="SKU20"/>
      <c r="SKV20"/>
      <c r="SKW20"/>
      <c r="SKX20" s="1"/>
      <c r="SKY20" s="1"/>
      <c r="SKZ20" s="1"/>
      <c r="SLA20" s="120"/>
      <c r="SLB20" s="120"/>
      <c r="SLC20" s="120"/>
      <c r="SLD20"/>
      <c r="SLE20"/>
      <c r="SLF20"/>
      <c r="SLG20"/>
      <c r="SLH20"/>
      <c r="SLI20"/>
      <c r="SLJ20"/>
      <c r="SLK20"/>
      <c r="SLL20"/>
      <c r="SLM20"/>
      <c r="SLN20"/>
      <c r="SLO20" s="1"/>
      <c r="SLP20" s="1"/>
      <c r="SLQ20" s="1"/>
      <c r="SLR20" s="120"/>
      <c r="SLS20" s="120"/>
      <c r="SLT20" s="120"/>
      <c r="SLU20"/>
      <c r="SLV20"/>
      <c r="SLW20"/>
      <c r="SLX20"/>
      <c r="SLY20"/>
      <c r="SLZ20"/>
      <c r="SMA20"/>
      <c r="SMB20"/>
      <c r="SMC20"/>
      <c r="SMD20"/>
      <c r="SME20"/>
      <c r="SMF20" s="1"/>
      <c r="SMG20" s="1"/>
      <c r="SMH20" s="1"/>
      <c r="SMI20" s="120"/>
      <c r="SMJ20" s="120"/>
      <c r="SMK20" s="120"/>
      <c r="SML20"/>
      <c r="SMM20"/>
      <c r="SMN20"/>
      <c r="SMO20"/>
      <c r="SMP20"/>
      <c r="SMQ20"/>
      <c r="SMR20"/>
      <c r="SMS20"/>
      <c r="SMT20"/>
      <c r="SMU20"/>
      <c r="SMV20"/>
      <c r="SMW20" s="1"/>
      <c r="SMX20" s="1"/>
      <c r="SMY20" s="1"/>
      <c r="SMZ20" s="120"/>
      <c r="SNA20" s="120"/>
      <c r="SNB20" s="120"/>
      <c r="SNC20"/>
      <c r="SND20"/>
      <c r="SNE20"/>
      <c r="SNF20"/>
      <c r="SNG20"/>
      <c r="SNH20"/>
      <c r="SNI20"/>
      <c r="SNJ20"/>
      <c r="SNK20"/>
      <c r="SNL20"/>
      <c r="SNM20"/>
      <c r="SNN20" s="1"/>
      <c r="SNO20" s="1"/>
      <c r="SNP20" s="1"/>
      <c r="SNQ20" s="120"/>
      <c r="SNR20" s="120"/>
      <c r="SNS20" s="120"/>
      <c r="SNT20"/>
      <c r="SNU20"/>
      <c r="SNV20"/>
      <c r="SNW20"/>
      <c r="SNX20"/>
      <c r="SNY20"/>
      <c r="SNZ20"/>
      <c r="SOA20"/>
      <c r="SOB20"/>
      <c r="SOC20"/>
      <c r="SOD20"/>
      <c r="SOE20" s="1"/>
      <c r="SOF20" s="1"/>
      <c r="SOG20" s="1"/>
      <c r="SOH20" s="120"/>
      <c r="SOI20" s="120"/>
      <c r="SOJ20" s="120"/>
      <c r="SOK20"/>
      <c r="SOL20"/>
      <c r="SOM20"/>
      <c r="SON20"/>
      <c r="SOO20"/>
      <c r="SOP20"/>
      <c r="SOQ20"/>
      <c r="SOR20"/>
      <c r="SOS20"/>
      <c r="SOT20"/>
      <c r="SOU20"/>
      <c r="SOV20" s="1"/>
      <c r="SOW20" s="1"/>
      <c r="SOX20" s="1"/>
      <c r="SOY20" s="120"/>
      <c r="SOZ20" s="120"/>
      <c r="SPA20" s="120"/>
      <c r="SPB20"/>
      <c r="SPC20"/>
      <c r="SPD20"/>
      <c r="SPE20"/>
      <c r="SPF20"/>
      <c r="SPG20"/>
      <c r="SPH20"/>
      <c r="SPI20"/>
      <c r="SPJ20"/>
      <c r="SPK20"/>
      <c r="SPL20"/>
      <c r="SPM20" s="1"/>
      <c r="SPN20" s="1"/>
      <c r="SPO20" s="1"/>
      <c r="SPP20" s="120"/>
      <c r="SPQ20" s="120"/>
      <c r="SPR20" s="120"/>
      <c r="SPS20"/>
      <c r="SPT20"/>
      <c r="SPU20"/>
      <c r="SPV20"/>
      <c r="SPW20"/>
      <c r="SPX20"/>
      <c r="SPY20"/>
      <c r="SPZ20"/>
      <c r="SQA20"/>
      <c r="SQB20"/>
      <c r="SQC20"/>
      <c r="SQD20" s="1"/>
      <c r="SQE20" s="1"/>
      <c r="SQF20" s="1"/>
      <c r="SQG20" s="120"/>
      <c r="SQH20" s="120"/>
      <c r="SQI20" s="120"/>
      <c r="SQJ20"/>
      <c r="SQK20"/>
      <c r="SQL20"/>
      <c r="SQM20"/>
      <c r="SQN20"/>
      <c r="SQO20"/>
      <c r="SQP20"/>
      <c r="SQQ20"/>
      <c r="SQR20"/>
      <c r="SQS20"/>
      <c r="SQT20"/>
      <c r="SQU20" s="1"/>
      <c r="SQV20" s="1"/>
      <c r="SQW20" s="1"/>
      <c r="SQX20" s="120"/>
      <c r="SQY20" s="120"/>
      <c r="SQZ20" s="120"/>
      <c r="SRA20"/>
      <c r="SRB20"/>
      <c r="SRC20"/>
      <c r="SRD20"/>
      <c r="SRE20"/>
      <c r="SRF20"/>
      <c r="SRG20"/>
      <c r="SRH20"/>
      <c r="SRI20"/>
      <c r="SRJ20"/>
      <c r="SRK20"/>
      <c r="SRL20" s="1"/>
      <c r="SRM20" s="1"/>
      <c r="SRN20" s="1"/>
      <c r="SRO20" s="120"/>
      <c r="SRP20" s="120"/>
      <c r="SRQ20" s="120"/>
      <c r="SRR20"/>
      <c r="SRS20"/>
      <c r="SRT20"/>
      <c r="SRU20"/>
      <c r="SRV20"/>
      <c r="SRW20"/>
      <c r="SRX20"/>
      <c r="SRY20"/>
      <c r="SRZ20"/>
      <c r="SSA20"/>
      <c r="SSB20"/>
      <c r="SSC20" s="1"/>
      <c r="SSD20" s="1"/>
      <c r="SSE20" s="1"/>
      <c r="SSF20" s="120"/>
      <c r="SSG20" s="120"/>
      <c r="SSH20" s="120"/>
      <c r="SSI20"/>
      <c r="SSJ20"/>
      <c r="SSK20"/>
      <c r="SSL20"/>
      <c r="SSM20"/>
      <c r="SSN20"/>
      <c r="SSO20"/>
      <c r="SSP20"/>
      <c r="SSQ20"/>
      <c r="SSR20"/>
      <c r="SSS20"/>
      <c r="SST20" s="1"/>
      <c r="SSU20" s="1"/>
      <c r="SSV20" s="1"/>
      <c r="SSW20" s="120"/>
      <c r="SSX20" s="120"/>
      <c r="SSY20" s="120"/>
      <c r="SSZ20"/>
      <c r="STA20"/>
      <c r="STB20"/>
      <c r="STC20"/>
      <c r="STD20"/>
      <c r="STE20"/>
      <c r="STF20"/>
      <c r="STG20"/>
      <c r="STH20"/>
      <c r="STI20"/>
      <c r="STJ20"/>
      <c r="STK20" s="1"/>
      <c r="STL20" s="1"/>
      <c r="STM20" s="1"/>
      <c r="STN20" s="120"/>
      <c r="STO20" s="120"/>
      <c r="STP20" s="120"/>
      <c r="STQ20"/>
      <c r="STR20"/>
      <c r="STS20"/>
      <c r="STT20"/>
      <c r="STU20"/>
      <c r="STV20"/>
      <c r="STW20"/>
      <c r="STX20"/>
      <c r="STY20"/>
      <c r="STZ20"/>
      <c r="SUA20"/>
      <c r="SUB20" s="1"/>
      <c r="SUC20" s="1"/>
      <c r="SUD20" s="1"/>
      <c r="SUE20" s="120"/>
      <c r="SUF20" s="120"/>
      <c r="SUG20" s="120"/>
      <c r="SUH20"/>
      <c r="SUI20"/>
      <c r="SUJ20"/>
      <c r="SUK20"/>
      <c r="SUL20"/>
      <c r="SUM20"/>
      <c r="SUN20"/>
      <c r="SUO20"/>
      <c r="SUP20"/>
      <c r="SUQ20"/>
      <c r="SUR20"/>
      <c r="SUS20" s="1"/>
      <c r="SUT20" s="1"/>
      <c r="SUU20" s="1"/>
      <c r="SUV20" s="120"/>
      <c r="SUW20" s="120"/>
      <c r="SUX20" s="120"/>
      <c r="SUY20"/>
      <c r="SUZ20"/>
      <c r="SVA20"/>
      <c r="SVB20"/>
      <c r="SVC20"/>
      <c r="SVD20"/>
      <c r="SVE20"/>
      <c r="SVF20"/>
      <c r="SVG20"/>
      <c r="SVH20"/>
      <c r="SVI20"/>
      <c r="SVJ20" s="1"/>
      <c r="SVK20" s="1"/>
      <c r="SVL20" s="1"/>
      <c r="SVM20" s="120"/>
      <c r="SVN20" s="120"/>
      <c r="SVO20" s="120"/>
      <c r="SVP20"/>
      <c r="SVQ20"/>
      <c r="SVR20"/>
      <c r="SVS20"/>
      <c r="SVT20"/>
      <c r="SVU20"/>
      <c r="SVV20"/>
      <c r="SVW20"/>
      <c r="SVX20"/>
      <c r="SVY20"/>
      <c r="SVZ20"/>
      <c r="SWA20" s="1"/>
      <c r="SWB20" s="1"/>
      <c r="SWC20" s="1"/>
      <c r="SWD20" s="120"/>
      <c r="SWE20" s="120"/>
      <c r="SWF20" s="120"/>
      <c r="SWG20"/>
      <c r="SWH20"/>
      <c r="SWI20"/>
      <c r="SWJ20"/>
      <c r="SWK20"/>
      <c r="SWL20"/>
      <c r="SWM20"/>
      <c r="SWN20"/>
      <c r="SWO20"/>
      <c r="SWP20"/>
      <c r="SWQ20"/>
      <c r="SWR20" s="1"/>
      <c r="SWS20" s="1"/>
      <c r="SWT20" s="1"/>
      <c r="SWU20" s="120"/>
      <c r="SWV20" s="120"/>
      <c r="SWW20" s="120"/>
      <c r="SWX20"/>
      <c r="SWY20"/>
      <c r="SWZ20"/>
      <c r="SXA20"/>
      <c r="SXB20"/>
      <c r="SXC20"/>
      <c r="SXD20"/>
      <c r="SXE20"/>
      <c r="SXF20"/>
      <c r="SXG20"/>
      <c r="SXH20"/>
      <c r="SXI20" s="1"/>
      <c r="SXJ20" s="1"/>
      <c r="SXK20" s="1"/>
      <c r="SXL20" s="120"/>
      <c r="SXM20" s="120"/>
      <c r="SXN20" s="120"/>
      <c r="SXO20"/>
      <c r="SXP20"/>
      <c r="SXQ20"/>
      <c r="SXR20"/>
      <c r="SXS20"/>
      <c r="SXT20"/>
      <c r="SXU20"/>
      <c r="SXV20"/>
      <c r="SXW20"/>
      <c r="SXX20"/>
      <c r="SXY20"/>
      <c r="SXZ20" s="1"/>
      <c r="SYA20" s="1"/>
      <c r="SYB20" s="1"/>
      <c r="SYC20" s="120"/>
      <c r="SYD20" s="120"/>
      <c r="SYE20" s="120"/>
      <c r="SYF20"/>
      <c r="SYG20"/>
      <c r="SYH20"/>
      <c r="SYI20"/>
      <c r="SYJ20"/>
      <c r="SYK20"/>
      <c r="SYL20"/>
      <c r="SYM20"/>
      <c r="SYN20"/>
      <c r="SYO20"/>
      <c r="SYP20"/>
      <c r="SYQ20" s="1"/>
      <c r="SYR20" s="1"/>
      <c r="SYS20" s="1"/>
      <c r="SYT20" s="120"/>
      <c r="SYU20" s="120"/>
      <c r="SYV20" s="120"/>
      <c r="SYW20"/>
      <c r="SYX20"/>
      <c r="SYY20"/>
      <c r="SYZ20"/>
      <c r="SZA20"/>
      <c r="SZB20"/>
      <c r="SZC20"/>
      <c r="SZD20"/>
      <c r="SZE20"/>
      <c r="SZF20"/>
      <c r="SZG20"/>
      <c r="SZH20" s="1"/>
      <c r="SZI20" s="1"/>
      <c r="SZJ20" s="1"/>
      <c r="SZK20" s="120"/>
      <c r="SZL20" s="120"/>
      <c r="SZM20" s="120"/>
      <c r="SZN20"/>
      <c r="SZO20"/>
      <c r="SZP20"/>
      <c r="SZQ20"/>
      <c r="SZR20"/>
      <c r="SZS20"/>
      <c r="SZT20"/>
      <c r="SZU20"/>
      <c r="SZV20"/>
      <c r="SZW20"/>
      <c r="SZX20"/>
      <c r="SZY20" s="1"/>
      <c r="SZZ20" s="1"/>
      <c r="TAA20" s="1"/>
      <c r="TAB20" s="120"/>
      <c r="TAC20" s="120"/>
      <c r="TAD20" s="120"/>
      <c r="TAE20"/>
      <c r="TAF20"/>
      <c r="TAG20"/>
      <c r="TAH20"/>
      <c r="TAI20"/>
      <c r="TAJ20"/>
      <c r="TAK20"/>
      <c r="TAL20"/>
      <c r="TAM20"/>
      <c r="TAN20"/>
      <c r="TAO20"/>
      <c r="TAP20" s="1"/>
      <c r="TAQ20" s="1"/>
      <c r="TAR20" s="1"/>
      <c r="TAS20" s="120"/>
      <c r="TAT20" s="120"/>
      <c r="TAU20" s="120"/>
      <c r="TAV20"/>
      <c r="TAW20"/>
      <c r="TAX20"/>
      <c r="TAY20"/>
      <c r="TAZ20"/>
      <c r="TBA20"/>
      <c r="TBB20"/>
      <c r="TBC20"/>
      <c r="TBD20"/>
      <c r="TBE20"/>
      <c r="TBF20"/>
      <c r="TBG20" s="1"/>
      <c r="TBH20" s="1"/>
      <c r="TBI20" s="1"/>
      <c r="TBJ20" s="120"/>
      <c r="TBK20" s="120"/>
      <c r="TBL20" s="120"/>
      <c r="TBM20"/>
      <c r="TBN20"/>
      <c r="TBO20"/>
      <c r="TBP20"/>
      <c r="TBQ20"/>
      <c r="TBR20"/>
      <c r="TBS20"/>
      <c r="TBT20"/>
      <c r="TBU20"/>
      <c r="TBV20"/>
      <c r="TBW20"/>
      <c r="TBX20" s="1"/>
      <c r="TBY20" s="1"/>
      <c r="TBZ20" s="1"/>
      <c r="TCA20" s="120"/>
      <c r="TCB20" s="120"/>
      <c r="TCC20" s="120"/>
      <c r="TCD20"/>
      <c r="TCE20"/>
      <c r="TCF20"/>
      <c r="TCG20"/>
      <c r="TCH20"/>
      <c r="TCI20"/>
      <c r="TCJ20"/>
      <c r="TCK20"/>
      <c r="TCL20"/>
      <c r="TCM20"/>
      <c r="TCN20"/>
      <c r="TCO20" s="1"/>
      <c r="TCP20" s="1"/>
      <c r="TCQ20" s="1"/>
      <c r="TCR20" s="120"/>
      <c r="TCS20" s="120"/>
      <c r="TCT20" s="120"/>
      <c r="TCU20"/>
      <c r="TCV20"/>
      <c r="TCW20"/>
      <c r="TCX20"/>
      <c r="TCY20"/>
      <c r="TCZ20"/>
      <c r="TDA20"/>
      <c r="TDB20"/>
      <c r="TDC20"/>
      <c r="TDD20"/>
      <c r="TDE20"/>
      <c r="TDF20" s="1"/>
      <c r="TDG20" s="1"/>
      <c r="TDH20" s="1"/>
      <c r="TDI20" s="120"/>
      <c r="TDJ20" s="120"/>
      <c r="TDK20" s="120"/>
      <c r="TDL20"/>
      <c r="TDM20"/>
      <c r="TDN20"/>
      <c r="TDO20"/>
      <c r="TDP20"/>
      <c r="TDQ20"/>
      <c r="TDR20"/>
      <c r="TDS20"/>
      <c r="TDT20"/>
      <c r="TDU20"/>
      <c r="TDV20"/>
      <c r="TDW20" s="1"/>
      <c r="TDX20" s="1"/>
      <c r="TDY20" s="1"/>
      <c r="TDZ20" s="120"/>
      <c r="TEA20" s="120"/>
      <c r="TEB20" s="120"/>
      <c r="TEC20"/>
      <c r="TED20"/>
      <c r="TEE20"/>
      <c r="TEF20"/>
      <c r="TEG20"/>
      <c r="TEH20"/>
      <c r="TEI20"/>
      <c r="TEJ20"/>
      <c r="TEK20"/>
      <c r="TEL20"/>
      <c r="TEM20"/>
      <c r="TEN20" s="1"/>
      <c r="TEO20" s="1"/>
      <c r="TEP20" s="1"/>
      <c r="TEQ20" s="120"/>
      <c r="TER20" s="120"/>
      <c r="TES20" s="120"/>
      <c r="TET20"/>
      <c r="TEU20"/>
      <c r="TEV20"/>
      <c r="TEW20"/>
      <c r="TEX20"/>
      <c r="TEY20"/>
      <c r="TEZ20"/>
      <c r="TFA20"/>
      <c r="TFB20"/>
      <c r="TFC20"/>
      <c r="TFD20"/>
      <c r="TFE20" s="1"/>
      <c r="TFF20" s="1"/>
      <c r="TFG20" s="1"/>
      <c r="TFH20" s="120"/>
      <c r="TFI20" s="120"/>
      <c r="TFJ20" s="120"/>
      <c r="TFK20"/>
      <c r="TFL20"/>
      <c r="TFM20"/>
      <c r="TFN20"/>
      <c r="TFO20"/>
      <c r="TFP20"/>
      <c r="TFQ20"/>
      <c r="TFR20"/>
      <c r="TFS20"/>
      <c r="TFT20"/>
      <c r="TFU20"/>
      <c r="TFV20" s="1"/>
      <c r="TFW20" s="1"/>
      <c r="TFX20" s="1"/>
      <c r="TFY20" s="120"/>
      <c r="TFZ20" s="120"/>
      <c r="TGA20" s="120"/>
      <c r="TGB20"/>
      <c r="TGC20"/>
      <c r="TGD20"/>
      <c r="TGE20"/>
      <c r="TGF20"/>
      <c r="TGG20"/>
      <c r="TGH20"/>
      <c r="TGI20"/>
      <c r="TGJ20"/>
      <c r="TGK20"/>
      <c r="TGL20"/>
      <c r="TGM20" s="1"/>
      <c r="TGN20" s="1"/>
      <c r="TGO20" s="1"/>
      <c r="TGP20" s="120"/>
      <c r="TGQ20" s="120"/>
      <c r="TGR20" s="120"/>
      <c r="TGS20"/>
      <c r="TGT20"/>
      <c r="TGU20"/>
      <c r="TGV20"/>
      <c r="TGW20"/>
      <c r="TGX20"/>
      <c r="TGY20"/>
      <c r="TGZ20"/>
      <c r="THA20"/>
      <c r="THB20"/>
      <c r="THC20"/>
      <c r="THD20" s="1"/>
      <c r="THE20" s="1"/>
      <c r="THF20" s="1"/>
      <c r="THG20" s="120"/>
      <c r="THH20" s="120"/>
      <c r="THI20" s="120"/>
      <c r="THJ20"/>
      <c r="THK20"/>
      <c r="THL20"/>
      <c r="THM20"/>
      <c r="THN20"/>
      <c r="THO20"/>
      <c r="THP20"/>
      <c r="THQ20"/>
      <c r="THR20"/>
      <c r="THS20"/>
      <c r="THT20"/>
      <c r="THU20" s="1"/>
      <c r="THV20" s="1"/>
      <c r="THW20" s="1"/>
      <c r="THX20" s="120"/>
      <c r="THY20" s="120"/>
      <c r="THZ20" s="120"/>
      <c r="TIA20"/>
      <c r="TIB20"/>
      <c r="TIC20"/>
      <c r="TID20"/>
      <c r="TIE20"/>
      <c r="TIF20"/>
      <c r="TIG20"/>
      <c r="TIH20"/>
      <c r="TII20"/>
      <c r="TIJ20"/>
      <c r="TIK20"/>
      <c r="TIL20" s="1"/>
      <c r="TIM20" s="1"/>
      <c r="TIN20" s="1"/>
      <c r="TIO20" s="120"/>
      <c r="TIP20" s="120"/>
      <c r="TIQ20" s="120"/>
      <c r="TIR20"/>
      <c r="TIS20"/>
      <c r="TIT20"/>
      <c r="TIU20"/>
      <c r="TIV20"/>
      <c r="TIW20"/>
      <c r="TIX20"/>
      <c r="TIY20"/>
      <c r="TIZ20"/>
      <c r="TJA20"/>
      <c r="TJB20"/>
      <c r="TJC20" s="1"/>
      <c r="TJD20" s="1"/>
      <c r="TJE20" s="1"/>
      <c r="TJF20" s="120"/>
      <c r="TJG20" s="120"/>
      <c r="TJH20" s="120"/>
      <c r="TJI20"/>
      <c r="TJJ20"/>
      <c r="TJK20"/>
      <c r="TJL20"/>
      <c r="TJM20"/>
      <c r="TJN20"/>
      <c r="TJO20"/>
      <c r="TJP20"/>
      <c r="TJQ20"/>
      <c r="TJR20"/>
      <c r="TJS20"/>
      <c r="TJT20" s="1"/>
      <c r="TJU20" s="1"/>
      <c r="TJV20" s="1"/>
      <c r="TJW20" s="120"/>
      <c r="TJX20" s="120"/>
      <c r="TJY20" s="120"/>
      <c r="TJZ20"/>
      <c r="TKA20"/>
      <c r="TKB20"/>
      <c r="TKC20"/>
      <c r="TKD20"/>
      <c r="TKE20"/>
      <c r="TKF20"/>
      <c r="TKG20"/>
      <c r="TKH20"/>
      <c r="TKI20"/>
      <c r="TKJ20"/>
      <c r="TKK20" s="1"/>
      <c r="TKL20" s="1"/>
      <c r="TKM20" s="1"/>
      <c r="TKN20" s="120"/>
      <c r="TKO20" s="120"/>
      <c r="TKP20" s="120"/>
      <c r="TKQ20"/>
      <c r="TKR20"/>
      <c r="TKS20"/>
      <c r="TKT20"/>
      <c r="TKU20"/>
      <c r="TKV20"/>
      <c r="TKW20"/>
      <c r="TKX20"/>
      <c r="TKY20"/>
      <c r="TKZ20"/>
      <c r="TLA20"/>
      <c r="TLB20" s="1"/>
      <c r="TLC20" s="1"/>
      <c r="TLD20" s="1"/>
      <c r="TLE20" s="120"/>
      <c r="TLF20" s="120"/>
      <c r="TLG20" s="120"/>
      <c r="TLH20"/>
      <c r="TLI20"/>
      <c r="TLJ20"/>
      <c r="TLK20"/>
      <c r="TLL20"/>
      <c r="TLM20"/>
      <c r="TLN20"/>
      <c r="TLO20"/>
      <c r="TLP20"/>
      <c r="TLQ20"/>
      <c r="TLR20"/>
      <c r="TLS20" s="1"/>
      <c r="TLT20" s="1"/>
      <c r="TLU20" s="1"/>
      <c r="TLV20" s="120"/>
      <c r="TLW20" s="120"/>
      <c r="TLX20" s="120"/>
      <c r="TLY20"/>
      <c r="TLZ20"/>
      <c r="TMA20"/>
      <c r="TMB20"/>
      <c r="TMC20"/>
      <c r="TMD20"/>
      <c r="TME20"/>
      <c r="TMF20"/>
      <c r="TMG20"/>
      <c r="TMH20"/>
      <c r="TMI20"/>
      <c r="TMJ20" s="1"/>
      <c r="TMK20" s="1"/>
      <c r="TML20" s="1"/>
      <c r="TMM20" s="120"/>
      <c r="TMN20" s="120"/>
      <c r="TMO20" s="120"/>
      <c r="TMP20"/>
      <c r="TMQ20"/>
      <c r="TMR20"/>
      <c r="TMS20"/>
      <c r="TMT20"/>
      <c r="TMU20"/>
      <c r="TMV20"/>
      <c r="TMW20"/>
      <c r="TMX20"/>
      <c r="TMY20"/>
      <c r="TMZ20"/>
      <c r="TNA20" s="1"/>
      <c r="TNB20" s="1"/>
      <c r="TNC20" s="1"/>
      <c r="TND20" s="120"/>
      <c r="TNE20" s="120"/>
      <c r="TNF20" s="120"/>
      <c r="TNG20"/>
      <c r="TNH20"/>
      <c r="TNI20"/>
      <c r="TNJ20"/>
      <c r="TNK20"/>
      <c r="TNL20"/>
      <c r="TNM20"/>
      <c r="TNN20"/>
      <c r="TNO20"/>
      <c r="TNP20"/>
      <c r="TNQ20"/>
      <c r="TNR20" s="1"/>
      <c r="TNS20" s="1"/>
      <c r="TNT20" s="1"/>
      <c r="TNU20" s="120"/>
      <c r="TNV20" s="120"/>
      <c r="TNW20" s="120"/>
      <c r="TNX20"/>
      <c r="TNY20"/>
      <c r="TNZ20"/>
      <c r="TOA20"/>
      <c r="TOB20"/>
      <c r="TOC20"/>
      <c r="TOD20"/>
      <c r="TOE20"/>
      <c r="TOF20"/>
      <c r="TOG20"/>
      <c r="TOH20"/>
      <c r="TOI20" s="1"/>
      <c r="TOJ20" s="1"/>
      <c r="TOK20" s="1"/>
      <c r="TOL20" s="120"/>
      <c r="TOM20" s="120"/>
      <c r="TON20" s="120"/>
      <c r="TOO20"/>
      <c r="TOP20"/>
      <c r="TOQ20"/>
      <c r="TOR20"/>
      <c r="TOS20"/>
      <c r="TOT20"/>
      <c r="TOU20"/>
      <c r="TOV20"/>
      <c r="TOW20"/>
      <c r="TOX20"/>
      <c r="TOY20"/>
      <c r="TOZ20" s="1"/>
      <c r="TPA20" s="1"/>
      <c r="TPB20" s="1"/>
      <c r="TPC20" s="120"/>
      <c r="TPD20" s="120"/>
      <c r="TPE20" s="120"/>
      <c r="TPF20"/>
      <c r="TPG20"/>
      <c r="TPH20"/>
      <c r="TPI20"/>
      <c r="TPJ20"/>
      <c r="TPK20"/>
      <c r="TPL20"/>
      <c r="TPM20"/>
      <c r="TPN20"/>
      <c r="TPO20"/>
      <c r="TPP20"/>
      <c r="TPQ20" s="1"/>
      <c r="TPR20" s="1"/>
      <c r="TPS20" s="1"/>
      <c r="TPT20" s="120"/>
      <c r="TPU20" s="120"/>
      <c r="TPV20" s="120"/>
      <c r="TPW20"/>
      <c r="TPX20"/>
      <c r="TPY20"/>
      <c r="TPZ20"/>
      <c r="TQA20"/>
      <c r="TQB20"/>
      <c r="TQC20"/>
      <c r="TQD20"/>
      <c r="TQE20"/>
      <c r="TQF20"/>
      <c r="TQG20"/>
      <c r="TQH20" s="1"/>
      <c r="TQI20" s="1"/>
      <c r="TQJ20" s="1"/>
      <c r="TQK20" s="120"/>
      <c r="TQL20" s="120"/>
      <c r="TQM20" s="120"/>
      <c r="TQN20"/>
      <c r="TQO20"/>
      <c r="TQP20"/>
      <c r="TQQ20"/>
      <c r="TQR20"/>
      <c r="TQS20"/>
      <c r="TQT20"/>
      <c r="TQU20"/>
      <c r="TQV20"/>
      <c r="TQW20"/>
      <c r="TQX20"/>
      <c r="TQY20" s="1"/>
      <c r="TQZ20" s="1"/>
      <c r="TRA20" s="1"/>
      <c r="TRB20" s="120"/>
      <c r="TRC20" s="120"/>
      <c r="TRD20" s="120"/>
      <c r="TRE20"/>
      <c r="TRF20"/>
      <c r="TRG20"/>
      <c r="TRH20"/>
      <c r="TRI20"/>
      <c r="TRJ20"/>
      <c r="TRK20"/>
      <c r="TRL20"/>
      <c r="TRM20"/>
      <c r="TRN20"/>
      <c r="TRO20"/>
      <c r="TRP20" s="1"/>
      <c r="TRQ20" s="1"/>
      <c r="TRR20" s="1"/>
      <c r="TRS20" s="120"/>
      <c r="TRT20" s="120"/>
      <c r="TRU20" s="120"/>
      <c r="TRV20"/>
      <c r="TRW20"/>
      <c r="TRX20"/>
      <c r="TRY20"/>
      <c r="TRZ20"/>
      <c r="TSA20"/>
      <c r="TSB20"/>
      <c r="TSC20"/>
      <c r="TSD20"/>
      <c r="TSE20"/>
      <c r="TSF20"/>
      <c r="TSG20" s="1"/>
      <c r="TSH20" s="1"/>
      <c r="TSI20" s="1"/>
      <c r="TSJ20" s="120"/>
      <c r="TSK20" s="120"/>
      <c r="TSL20" s="120"/>
      <c r="TSM20"/>
      <c r="TSN20"/>
      <c r="TSO20"/>
      <c r="TSP20"/>
      <c r="TSQ20"/>
      <c r="TSR20"/>
      <c r="TSS20"/>
      <c r="TST20"/>
      <c r="TSU20"/>
      <c r="TSV20"/>
      <c r="TSW20"/>
      <c r="TSX20" s="1"/>
      <c r="TSY20" s="1"/>
      <c r="TSZ20" s="1"/>
      <c r="TTA20" s="120"/>
      <c r="TTB20" s="120"/>
      <c r="TTC20" s="120"/>
      <c r="TTD20"/>
      <c r="TTE20"/>
      <c r="TTF20"/>
      <c r="TTG20"/>
      <c r="TTH20"/>
      <c r="TTI20"/>
      <c r="TTJ20"/>
      <c r="TTK20"/>
      <c r="TTL20"/>
      <c r="TTM20"/>
      <c r="TTN20"/>
      <c r="TTO20" s="1"/>
      <c r="TTP20" s="1"/>
      <c r="TTQ20" s="1"/>
      <c r="TTR20" s="120"/>
      <c r="TTS20" s="120"/>
      <c r="TTT20" s="120"/>
      <c r="TTU20"/>
      <c r="TTV20"/>
      <c r="TTW20"/>
      <c r="TTX20"/>
      <c r="TTY20"/>
      <c r="TTZ20"/>
      <c r="TUA20"/>
      <c r="TUB20"/>
      <c r="TUC20"/>
      <c r="TUD20"/>
      <c r="TUE20"/>
      <c r="TUF20" s="1"/>
      <c r="TUG20" s="1"/>
      <c r="TUH20" s="1"/>
      <c r="TUI20" s="120"/>
      <c r="TUJ20" s="120"/>
      <c r="TUK20" s="120"/>
      <c r="TUL20"/>
      <c r="TUM20"/>
      <c r="TUN20"/>
      <c r="TUO20"/>
      <c r="TUP20"/>
      <c r="TUQ20"/>
      <c r="TUR20"/>
      <c r="TUS20"/>
      <c r="TUT20"/>
      <c r="TUU20"/>
      <c r="TUV20"/>
      <c r="TUW20" s="1"/>
      <c r="TUX20" s="1"/>
      <c r="TUY20" s="1"/>
      <c r="TUZ20" s="120"/>
      <c r="TVA20" s="120"/>
      <c r="TVB20" s="120"/>
      <c r="TVC20"/>
      <c r="TVD20"/>
      <c r="TVE20"/>
      <c r="TVF20"/>
      <c r="TVG20"/>
      <c r="TVH20"/>
      <c r="TVI20"/>
      <c r="TVJ20"/>
      <c r="TVK20"/>
      <c r="TVL20"/>
      <c r="TVM20"/>
      <c r="TVN20" s="1"/>
      <c r="TVO20" s="1"/>
      <c r="TVP20" s="1"/>
      <c r="TVQ20" s="120"/>
      <c r="TVR20" s="120"/>
      <c r="TVS20" s="120"/>
      <c r="TVT20"/>
      <c r="TVU20"/>
      <c r="TVV20"/>
      <c r="TVW20"/>
      <c r="TVX20"/>
      <c r="TVY20"/>
      <c r="TVZ20"/>
      <c r="TWA20"/>
      <c r="TWB20"/>
      <c r="TWC20"/>
      <c r="TWD20"/>
      <c r="TWE20" s="1"/>
      <c r="TWF20" s="1"/>
      <c r="TWG20" s="1"/>
      <c r="TWH20" s="120"/>
      <c r="TWI20" s="120"/>
      <c r="TWJ20" s="120"/>
      <c r="TWK20"/>
      <c r="TWL20"/>
      <c r="TWM20"/>
      <c r="TWN20"/>
      <c r="TWO20"/>
      <c r="TWP20"/>
      <c r="TWQ20"/>
      <c r="TWR20"/>
      <c r="TWS20"/>
      <c r="TWT20"/>
      <c r="TWU20"/>
      <c r="TWV20" s="1"/>
      <c r="TWW20" s="1"/>
      <c r="TWX20" s="1"/>
      <c r="TWY20" s="120"/>
      <c r="TWZ20" s="120"/>
      <c r="TXA20" s="120"/>
      <c r="TXB20"/>
      <c r="TXC20"/>
      <c r="TXD20"/>
      <c r="TXE20"/>
      <c r="TXF20"/>
      <c r="TXG20"/>
      <c r="TXH20"/>
      <c r="TXI20"/>
      <c r="TXJ20"/>
      <c r="TXK20"/>
      <c r="TXL20"/>
      <c r="TXM20" s="1"/>
      <c r="TXN20" s="1"/>
      <c r="TXO20" s="1"/>
      <c r="TXP20" s="120"/>
      <c r="TXQ20" s="120"/>
      <c r="TXR20" s="120"/>
      <c r="TXS20"/>
      <c r="TXT20"/>
      <c r="TXU20"/>
      <c r="TXV20"/>
      <c r="TXW20"/>
      <c r="TXX20"/>
      <c r="TXY20"/>
      <c r="TXZ20"/>
      <c r="TYA20"/>
      <c r="TYB20"/>
      <c r="TYC20"/>
      <c r="TYD20" s="1"/>
      <c r="TYE20" s="1"/>
      <c r="TYF20" s="1"/>
      <c r="TYG20" s="120"/>
      <c r="TYH20" s="120"/>
      <c r="TYI20" s="120"/>
      <c r="TYJ20"/>
      <c r="TYK20"/>
      <c r="TYL20"/>
      <c r="TYM20"/>
      <c r="TYN20"/>
      <c r="TYO20"/>
      <c r="TYP20"/>
      <c r="TYQ20"/>
      <c r="TYR20"/>
      <c r="TYS20"/>
      <c r="TYT20"/>
      <c r="TYU20" s="1"/>
      <c r="TYV20" s="1"/>
      <c r="TYW20" s="1"/>
      <c r="TYX20" s="120"/>
      <c r="TYY20" s="120"/>
      <c r="TYZ20" s="120"/>
      <c r="TZA20"/>
      <c r="TZB20"/>
      <c r="TZC20"/>
      <c r="TZD20"/>
      <c r="TZE20"/>
      <c r="TZF20"/>
      <c r="TZG20"/>
      <c r="TZH20"/>
      <c r="TZI20"/>
      <c r="TZJ20"/>
      <c r="TZK20"/>
      <c r="TZL20" s="1"/>
      <c r="TZM20" s="1"/>
      <c r="TZN20" s="1"/>
      <c r="TZO20" s="120"/>
      <c r="TZP20" s="120"/>
      <c r="TZQ20" s="120"/>
      <c r="TZR20"/>
      <c r="TZS20"/>
      <c r="TZT20"/>
      <c r="TZU20"/>
      <c r="TZV20"/>
      <c r="TZW20"/>
      <c r="TZX20"/>
      <c r="TZY20"/>
      <c r="TZZ20"/>
      <c r="UAA20"/>
      <c r="UAB20"/>
      <c r="UAC20" s="1"/>
      <c r="UAD20" s="1"/>
      <c r="UAE20" s="1"/>
      <c r="UAF20" s="120"/>
      <c r="UAG20" s="120"/>
      <c r="UAH20" s="120"/>
      <c r="UAI20"/>
      <c r="UAJ20"/>
      <c r="UAK20"/>
      <c r="UAL20"/>
      <c r="UAM20"/>
      <c r="UAN20"/>
      <c r="UAO20"/>
      <c r="UAP20"/>
      <c r="UAQ20"/>
      <c r="UAR20"/>
      <c r="UAS20"/>
      <c r="UAT20" s="1"/>
      <c r="UAU20" s="1"/>
      <c r="UAV20" s="1"/>
      <c r="UAW20" s="120"/>
      <c r="UAX20" s="120"/>
      <c r="UAY20" s="120"/>
      <c r="UAZ20"/>
      <c r="UBA20"/>
      <c r="UBB20"/>
      <c r="UBC20"/>
      <c r="UBD20"/>
      <c r="UBE20"/>
      <c r="UBF20"/>
      <c r="UBG20"/>
      <c r="UBH20"/>
      <c r="UBI20"/>
      <c r="UBJ20"/>
      <c r="UBK20" s="1"/>
      <c r="UBL20" s="1"/>
      <c r="UBM20" s="1"/>
      <c r="UBN20" s="120"/>
      <c r="UBO20" s="120"/>
      <c r="UBP20" s="120"/>
      <c r="UBQ20"/>
      <c r="UBR20"/>
      <c r="UBS20"/>
      <c r="UBT20"/>
      <c r="UBU20"/>
      <c r="UBV20"/>
      <c r="UBW20"/>
      <c r="UBX20"/>
      <c r="UBY20"/>
      <c r="UBZ20"/>
      <c r="UCA20"/>
      <c r="UCB20" s="1"/>
      <c r="UCC20" s="1"/>
      <c r="UCD20" s="1"/>
      <c r="UCE20" s="120"/>
      <c r="UCF20" s="120"/>
      <c r="UCG20" s="120"/>
      <c r="UCH20"/>
      <c r="UCI20"/>
      <c r="UCJ20"/>
      <c r="UCK20"/>
      <c r="UCL20"/>
      <c r="UCM20"/>
      <c r="UCN20"/>
      <c r="UCO20"/>
      <c r="UCP20"/>
      <c r="UCQ20"/>
      <c r="UCR20"/>
      <c r="UCS20" s="1"/>
      <c r="UCT20" s="1"/>
      <c r="UCU20" s="1"/>
      <c r="UCV20" s="120"/>
      <c r="UCW20" s="120"/>
      <c r="UCX20" s="120"/>
      <c r="UCY20"/>
      <c r="UCZ20"/>
      <c r="UDA20"/>
      <c r="UDB20"/>
      <c r="UDC20"/>
      <c r="UDD20"/>
      <c r="UDE20"/>
      <c r="UDF20"/>
      <c r="UDG20"/>
      <c r="UDH20"/>
      <c r="UDI20"/>
      <c r="UDJ20" s="1"/>
      <c r="UDK20" s="1"/>
      <c r="UDL20" s="1"/>
      <c r="UDM20" s="120"/>
      <c r="UDN20" s="120"/>
      <c r="UDO20" s="120"/>
      <c r="UDP20"/>
      <c r="UDQ20"/>
      <c r="UDR20"/>
      <c r="UDS20"/>
      <c r="UDT20"/>
      <c r="UDU20"/>
      <c r="UDV20"/>
      <c r="UDW20"/>
      <c r="UDX20"/>
      <c r="UDY20"/>
      <c r="UDZ20"/>
      <c r="UEA20" s="1"/>
      <c r="UEB20" s="1"/>
      <c r="UEC20" s="1"/>
      <c r="UED20" s="120"/>
      <c r="UEE20" s="120"/>
      <c r="UEF20" s="120"/>
      <c r="UEG20"/>
      <c r="UEH20"/>
      <c r="UEI20"/>
      <c r="UEJ20"/>
      <c r="UEK20"/>
      <c r="UEL20"/>
      <c r="UEM20"/>
      <c r="UEN20"/>
      <c r="UEO20"/>
      <c r="UEP20"/>
      <c r="UEQ20"/>
      <c r="UER20" s="1"/>
      <c r="UES20" s="1"/>
      <c r="UET20" s="1"/>
      <c r="UEU20" s="120"/>
      <c r="UEV20" s="120"/>
      <c r="UEW20" s="120"/>
      <c r="UEX20"/>
      <c r="UEY20"/>
      <c r="UEZ20"/>
      <c r="UFA20"/>
      <c r="UFB20"/>
      <c r="UFC20"/>
      <c r="UFD20"/>
      <c r="UFE20"/>
      <c r="UFF20"/>
      <c r="UFG20"/>
      <c r="UFH20"/>
      <c r="UFI20" s="1"/>
      <c r="UFJ20" s="1"/>
      <c r="UFK20" s="1"/>
      <c r="UFL20" s="120"/>
      <c r="UFM20" s="120"/>
      <c r="UFN20" s="120"/>
      <c r="UFO20"/>
      <c r="UFP20"/>
      <c r="UFQ20"/>
      <c r="UFR20"/>
      <c r="UFS20"/>
      <c r="UFT20"/>
      <c r="UFU20"/>
      <c r="UFV20"/>
      <c r="UFW20"/>
      <c r="UFX20"/>
      <c r="UFY20"/>
      <c r="UFZ20" s="1"/>
      <c r="UGA20" s="1"/>
      <c r="UGB20" s="1"/>
      <c r="UGC20" s="120"/>
      <c r="UGD20" s="120"/>
      <c r="UGE20" s="120"/>
      <c r="UGF20"/>
      <c r="UGG20"/>
      <c r="UGH20"/>
      <c r="UGI20"/>
      <c r="UGJ20"/>
      <c r="UGK20"/>
      <c r="UGL20"/>
      <c r="UGM20"/>
      <c r="UGN20"/>
      <c r="UGO20"/>
      <c r="UGP20"/>
      <c r="UGQ20" s="1"/>
      <c r="UGR20" s="1"/>
      <c r="UGS20" s="1"/>
      <c r="UGT20" s="120"/>
      <c r="UGU20" s="120"/>
      <c r="UGV20" s="120"/>
      <c r="UGW20"/>
      <c r="UGX20"/>
      <c r="UGY20"/>
      <c r="UGZ20"/>
      <c r="UHA20"/>
      <c r="UHB20"/>
      <c r="UHC20"/>
      <c r="UHD20"/>
      <c r="UHE20"/>
      <c r="UHF20"/>
      <c r="UHG20"/>
      <c r="UHH20" s="1"/>
      <c r="UHI20" s="1"/>
      <c r="UHJ20" s="1"/>
      <c r="UHK20" s="120"/>
      <c r="UHL20" s="120"/>
      <c r="UHM20" s="120"/>
      <c r="UHN20"/>
      <c r="UHO20"/>
      <c r="UHP20"/>
      <c r="UHQ20"/>
      <c r="UHR20"/>
      <c r="UHS20"/>
      <c r="UHT20"/>
      <c r="UHU20"/>
      <c r="UHV20"/>
      <c r="UHW20"/>
      <c r="UHX20"/>
      <c r="UHY20" s="1"/>
      <c r="UHZ20" s="1"/>
      <c r="UIA20" s="1"/>
      <c r="UIB20" s="120"/>
      <c r="UIC20" s="120"/>
      <c r="UID20" s="120"/>
      <c r="UIE20"/>
      <c r="UIF20"/>
      <c r="UIG20"/>
      <c r="UIH20"/>
      <c r="UII20"/>
      <c r="UIJ20"/>
      <c r="UIK20"/>
      <c r="UIL20"/>
      <c r="UIM20"/>
      <c r="UIN20"/>
      <c r="UIO20"/>
      <c r="UIP20" s="1"/>
      <c r="UIQ20" s="1"/>
      <c r="UIR20" s="1"/>
      <c r="UIS20" s="120"/>
      <c r="UIT20" s="120"/>
      <c r="UIU20" s="120"/>
      <c r="UIV20"/>
      <c r="UIW20"/>
      <c r="UIX20"/>
      <c r="UIY20"/>
      <c r="UIZ20"/>
      <c r="UJA20"/>
      <c r="UJB20"/>
      <c r="UJC20"/>
      <c r="UJD20"/>
      <c r="UJE20"/>
      <c r="UJF20"/>
      <c r="UJG20" s="1"/>
      <c r="UJH20" s="1"/>
      <c r="UJI20" s="1"/>
      <c r="UJJ20" s="120"/>
      <c r="UJK20" s="120"/>
      <c r="UJL20" s="120"/>
      <c r="UJM20"/>
      <c r="UJN20"/>
      <c r="UJO20"/>
      <c r="UJP20"/>
      <c r="UJQ20"/>
      <c r="UJR20"/>
      <c r="UJS20"/>
      <c r="UJT20"/>
      <c r="UJU20"/>
      <c r="UJV20"/>
      <c r="UJW20"/>
      <c r="UJX20" s="1"/>
      <c r="UJY20" s="1"/>
      <c r="UJZ20" s="1"/>
      <c r="UKA20" s="120"/>
      <c r="UKB20" s="120"/>
      <c r="UKC20" s="120"/>
      <c r="UKD20"/>
      <c r="UKE20"/>
      <c r="UKF20"/>
      <c r="UKG20"/>
      <c r="UKH20"/>
      <c r="UKI20"/>
      <c r="UKJ20"/>
      <c r="UKK20"/>
      <c r="UKL20"/>
      <c r="UKM20"/>
      <c r="UKN20"/>
      <c r="UKO20" s="1"/>
      <c r="UKP20" s="1"/>
      <c r="UKQ20" s="1"/>
      <c r="UKR20" s="120"/>
      <c r="UKS20" s="120"/>
      <c r="UKT20" s="120"/>
      <c r="UKU20"/>
      <c r="UKV20"/>
      <c r="UKW20"/>
      <c r="UKX20"/>
      <c r="UKY20"/>
      <c r="UKZ20"/>
      <c r="ULA20"/>
      <c r="ULB20"/>
      <c r="ULC20"/>
      <c r="ULD20"/>
      <c r="ULE20"/>
      <c r="ULF20" s="1"/>
      <c r="ULG20" s="1"/>
      <c r="ULH20" s="1"/>
      <c r="ULI20" s="120"/>
      <c r="ULJ20" s="120"/>
      <c r="ULK20" s="120"/>
      <c r="ULL20"/>
      <c r="ULM20"/>
      <c r="ULN20"/>
      <c r="ULO20"/>
      <c r="ULP20"/>
      <c r="ULQ20"/>
      <c r="ULR20"/>
      <c r="ULS20"/>
      <c r="ULT20"/>
      <c r="ULU20"/>
      <c r="ULV20"/>
      <c r="ULW20" s="1"/>
      <c r="ULX20" s="1"/>
      <c r="ULY20" s="1"/>
      <c r="ULZ20" s="120"/>
      <c r="UMA20" s="120"/>
      <c r="UMB20" s="120"/>
      <c r="UMC20"/>
      <c r="UMD20"/>
      <c r="UME20"/>
      <c r="UMF20"/>
      <c r="UMG20"/>
      <c r="UMH20"/>
      <c r="UMI20"/>
      <c r="UMJ20"/>
      <c r="UMK20"/>
      <c r="UML20"/>
      <c r="UMM20"/>
      <c r="UMN20" s="1"/>
      <c r="UMO20" s="1"/>
      <c r="UMP20" s="1"/>
      <c r="UMQ20" s="120"/>
      <c r="UMR20" s="120"/>
      <c r="UMS20" s="120"/>
      <c r="UMT20"/>
      <c r="UMU20"/>
      <c r="UMV20"/>
      <c r="UMW20"/>
      <c r="UMX20"/>
      <c r="UMY20"/>
      <c r="UMZ20"/>
      <c r="UNA20"/>
      <c r="UNB20"/>
      <c r="UNC20"/>
      <c r="UND20"/>
      <c r="UNE20" s="1"/>
      <c r="UNF20" s="1"/>
      <c r="UNG20" s="1"/>
      <c r="UNH20" s="120"/>
      <c r="UNI20" s="120"/>
      <c r="UNJ20" s="120"/>
      <c r="UNK20"/>
      <c r="UNL20"/>
      <c r="UNM20"/>
      <c r="UNN20"/>
      <c r="UNO20"/>
      <c r="UNP20"/>
      <c r="UNQ20"/>
      <c r="UNR20"/>
      <c r="UNS20"/>
      <c r="UNT20"/>
      <c r="UNU20"/>
      <c r="UNV20" s="1"/>
      <c r="UNW20" s="1"/>
      <c r="UNX20" s="1"/>
      <c r="UNY20" s="120"/>
      <c r="UNZ20" s="120"/>
      <c r="UOA20" s="120"/>
      <c r="UOB20"/>
      <c r="UOC20"/>
      <c r="UOD20"/>
      <c r="UOE20"/>
      <c r="UOF20"/>
      <c r="UOG20"/>
      <c r="UOH20"/>
      <c r="UOI20"/>
      <c r="UOJ20"/>
      <c r="UOK20"/>
      <c r="UOL20"/>
      <c r="UOM20" s="1"/>
      <c r="UON20" s="1"/>
      <c r="UOO20" s="1"/>
      <c r="UOP20" s="120"/>
      <c r="UOQ20" s="120"/>
      <c r="UOR20" s="120"/>
      <c r="UOS20"/>
      <c r="UOT20"/>
      <c r="UOU20"/>
      <c r="UOV20"/>
      <c r="UOW20"/>
      <c r="UOX20"/>
      <c r="UOY20"/>
      <c r="UOZ20"/>
      <c r="UPA20"/>
      <c r="UPB20"/>
      <c r="UPC20"/>
      <c r="UPD20" s="1"/>
      <c r="UPE20" s="1"/>
      <c r="UPF20" s="1"/>
      <c r="UPG20" s="120"/>
      <c r="UPH20" s="120"/>
      <c r="UPI20" s="120"/>
      <c r="UPJ20"/>
      <c r="UPK20"/>
      <c r="UPL20"/>
      <c r="UPM20"/>
      <c r="UPN20"/>
      <c r="UPO20"/>
      <c r="UPP20"/>
      <c r="UPQ20"/>
      <c r="UPR20"/>
      <c r="UPS20"/>
      <c r="UPT20"/>
      <c r="UPU20" s="1"/>
      <c r="UPV20" s="1"/>
      <c r="UPW20" s="1"/>
      <c r="UPX20" s="120"/>
      <c r="UPY20" s="120"/>
      <c r="UPZ20" s="120"/>
      <c r="UQA20"/>
      <c r="UQB20"/>
      <c r="UQC20"/>
      <c r="UQD20"/>
      <c r="UQE20"/>
      <c r="UQF20"/>
      <c r="UQG20"/>
      <c r="UQH20"/>
      <c r="UQI20"/>
      <c r="UQJ20"/>
      <c r="UQK20"/>
      <c r="UQL20" s="1"/>
      <c r="UQM20" s="1"/>
      <c r="UQN20" s="1"/>
      <c r="UQO20" s="120"/>
      <c r="UQP20" s="120"/>
      <c r="UQQ20" s="120"/>
      <c r="UQR20"/>
      <c r="UQS20"/>
      <c r="UQT20"/>
      <c r="UQU20"/>
      <c r="UQV20"/>
      <c r="UQW20"/>
      <c r="UQX20"/>
      <c r="UQY20"/>
      <c r="UQZ20"/>
      <c r="URA20"/>
      <c r="URB20"/>
      <c r="URC20" s="1"/>
      <c r="URD20" s="1"/>
      <c r="URE20" s="1"/>
      <c r="URF20" s="120"/>
      <c r="URG20" s="120"/>
      <c r="URH20" s="120"/>
      <c r="URI20"/>
      <c r="URJ20"/>
      <c r="URK20"/>
      <c r="URL20"/>
      <c r="URM20"/>
      <c r="URN20"/>
      <c r="URO20"/>
      <c r="URP20"/>
      <c r="URQ20"/>
      <c r="URR20"/>
      <c r="URS20"/>
      <c r="URT20" s="1"/>
      <c r="URU20" s="1"/>
      <c r="URV20" s="1"/>
      <c r="URW20" s="120"/>
      <c r="URX20" s="120"/>
      <c r="URY20" s="120"/>
      <c r="URZ20"/>
      <c r="USA20"/>
      <c r="USB20"/>
      <c r="USC20"/>
      <c r="USD20"/>
      <c r="USE20"/>
      <c r="USF20"/>
      <c r="USG20"/>
      <c r="USH20"/>
      <c r="USI20"/>
      <c r="USJ20"/>
      <c r="USK20" s="1"/>
      <c r="USL20" s="1"/>
      <c r="USM20" s="1"/>
      <c r="USN20" s="120"/>
      <c r="USO20" s="120"/>
      <c r="USP20" s="120"/>
      <c r="USQ20"/>
      <c r="USR20"/>
      <c r="USS20"/>
      <c r="UST20"/>
      <c r="USU20"/>
      <c r="USV20"/>
      <c r="USW20"/>
      <c r="USX20"/>
      <c r="USY20"/>
      <c r="USZ20"/>
      <c r="UTA20"/>
      <c r="UTB20" s="1"/>
      <c r="UTC20" s="1"/>
      <c r="UTD20" s="1"/>
      <c r="UTE20" s="120"/>
      <c r="UTF20" s="120"/>
      <c r="UTG20" s="120"/>
      <c r="UTH20"/>
      <c r="UTI20"/>
      <c r="UTJ20"/>
      <c r="UTK20"/>
      <c r="UTL20"/>
      <c r="UTM20"/>
      <c r="UTN20"/>
      <c r="UTO20"/>
      <c r="UTP20"/>
      <c r="UTQ20"/>
      <c r="UTR20"/>
      <c r="UTS20" s="1"/>
      <c r="UTT20" s="1"/>
      <c r="UTU20" s="1"/>
      <c r="UTV20" s="120"/>
      <c r="UTW20" s="120"/>
      <c r="UTX20" s="120"/>
      <c r="UTY20"/>
      <c r="UTZ20"/>
      <c r="UUA20"/>
      <c r="UUB20"/>
      <c r="UUC20"/>
      <c r="UUD20"/>
      <c r="UUE20"/>
      <c r="UUF20"/>
      <c r="UUG20"/>
      <c r="UUH20"/>
      <c r="UUI20"/>
      <c r="UUJ20" s="1"/>
      <c r="UUK20" s="1"/>
      <c r="UUL20" s="1"/>
      <c r="UUM20" s="120"/>
      <c r="UUN20" s="120"/>
      <c r="UUO20" s="120"/>
      <c r="UUP20"/>
      <c r="UUQ20"/>
      <c r="UUR20"/>
      <c r="UUS20"/>
      <c r="UUT20"/>
      <c r="UUU20"/>
      <c r="UUV20"/>
      <c r="UUW20"/>
      <c r="UUX20"/>
      <c r="UUY20"/>
      <c r="UUZ20"/>
      <c r="UVA20" s="1"/>
      <c r="UVB20" s="1"/>
      <c r="UVC20" s="1"/>
      <c r="UVD20" s="120"/>
      <c r="UVE20" s="120"/>
      <c r="UVF20" s="120"/>
      <c r="UVG20"/>
      <c r="UVH20"/>
      <c r="UVI20"/>
      <c r="UVJ20"/>
      <c r="UVK20"/>
      <c r="UVL20"/>
      <c r="UVM20"/>
      <c r="UVN20"/>
      <c r="UVO20"/>
      <c r="UVP20"/>
      <c r="UVQ20"/>
      <c r="UVR20" s="1"/>
      <c r="UVS20" s="1"/>
      <c r="UVT20" s="1"/>
      <c r="UVU20" s="120"/>
      <c r="UVV20" s="120"/>
      <c r="UVW20" s="120"/>
      <c r="UVX20"/>
      <c r="UVY20"/>
      <c r="UVZ20"/>
      <c r="UWA20"/>
      <c r="UWB20"/>
      <c r="UWC20"/>
      <c r="UWD20"/>
      <c r="UWE20"/>
      <c r="UWF20"/>
      <c r="UWG20"/>
      <c r="UWH20"/>
      <c r="UWI20" s="1"/>
      <c r="UWJ20" s="1"/>
      <c r="UWK20" s="1"/>
      <c r="UWL20" s="120"/>
      <c r="UWM20" s="120"/>
      <c r="UWN20" s="120"/>
      <c r="UWO20"/>
      <c r="UWP20"/>
      <c r="UWQ20"/>
      <c r="UWR20"/>
      <c r="UWS20"/>
      <c r="UWT20"/>
      <c r="UWU20"/>
      <c r="UWV20"/>
      <c r="UWW20"/>
      <c r="UWX20"/>
      <c r="UWY20"/>
      <c r="UWZ20" s="1"/>
      <c r="UXA20" s="1"/>
      <c r="UXB20" s="1"/>
      <c r="UXC20" s="120"/>
      <c r="UXD20" s="120"/>
      <c r="UXE20" s="120"/>
      <c r="UXF20"/>
      <c r="UXG20"/>
      <c r="UXH20"/>
      <c r="UXI20"/>
      <c r="UXJ20"/>
      <c r="UXK20"/>
      <c r="UXL20"/>
      <c r="UXM20"/>
      <c r="UXN20"/>
      <c r="UXO20"/>
      <c r="UXP20"/>
      <c r="UXQ20" s="1"/>
      <c r="UXR20" s="1"/>
      <c r="UXS20" s="1"/>
      <c r="UXT20" s="120"/>
      <c r="UXU20" s="120"/>
      <c r="UXV20" s="120"/>
      <c r="UXW20"/>
      <c r="UXX20"/>
      <c r="UXY20"/>
      <c r="UXZ20"/>
      <c r="UYA20"/>
      <c r="UYB20"/>
      <c r="UYC20"/>
      <c r="UYD20"/>
      <c r="UYE20"/>
      <c r="UYF20"/>
      <c r="UYG20"/>
      <c r="UYH20" s="1"/>
      <c r="UYI20" s="1"/>
      <c r="UYJ20" s="1"/>
      <c r="UYK20" s="120"/>
      <c r="UYL20" s="120"/>
      <c r="UYM20" s="120"/>
      <c r="UYN20"/>
      <c r="UYO20"/>
      <c r="UYP20"/>
      <c r="UYQ20"/>
      <c r="UYR20"/>
      <c r="UYS20"/>
      <c r="UYT20"/>
      <c r="UYU20"/>
      <c r="UYV20"/>
      <c r="UYW20"/>
      <c r="UYX20"/>
      <c r="UYY20" s="1"/>
      <c r="UYZ20" s="1"/>
      <c r="UZA20" s="1"/>
      <c r="UZB20" s="120"/>
      <c r="UZC20" s="120"/>
      <c r="UZD20" s="120"/>
      <c r="UZE20"/>
      <c r="UZF20"/>
      <c r="UZG20"/>
      <c r="UZH20"/>
      <c r="UZI20"/>
      <c r="UZJ20"/>
      <c r="UZK20"/>
      <c r="UZL20"/>
      <c r="UZM20"/>
      <c r="UZN20"/>
      <c r="UZO20"/>
      <c r="UZP20" s="1"/>
      <c r="UZQ20" s="1"/>
      <c r="UZR20" s="1"/>
      <c r="UZS20" s="120"/>
      <c r="UZT20" s="120"/>
      <c r="UZU20" s="120"/>
      <c r="UZV20"/>
      <c r="UZW20"/>
      <c r="UZX20"/>
      <c r="UZY20"/>
      <c r="UZZ20"/>
      <c r="VAA20"/>
      <c r="VAB20"/>
      <c r="VAC20"/>
      <c r="VAD20"/>
      <c r="VAE20"/>
      <c r="VAF20"/>
      <c r="VAG20" s="1"/>
      <c r="VAH20" s="1"/>
      <c r="VAI20" s="1"/>
      <c r="VAJ20" s="120"/>
      <c r="VAK20" s="120"/>
      <c r="VAL20" s="120"/>
      <c r="VAM20"/>
      <c r="VAN20"/>
      <c r="VAO20"/>
      <c r="VAP20"/>
      <c r="VAQ20"/>
      <c r="VAR20"/>
      <c r="VAS20"/>
      <c r="VAT20"/>
      <c r="VAU20"/>
      <c r="VAV20"/>
      <c r="VAW20"/>
      <c r="VAX20" s="1"/>
      <c r="VAY20" s="1"/>
      <c r="VAZ20" s="1"/>
      <c r="VBA20" s="120"/>
      <c r="VBB20" s="120"/>
      <c r="VBC20" s="120"/>
      <c r="VBD20"/>
      <c r="VBE20"/>
      <c r="VBF20"/>
      <c r="VBG20"/>
      <c r="VBH20"/>
      <c r="VBI20"/>
      <c r="VBJ20"/>
      <c r="VBK20"/>
      <c r="VBL20"/>
      <c r="VBM20"/>
      <c r="VBN20"/>
      <c r="VBO20" s="1"/>
      <c r="VBP20" s="1"/>
      <c r="VBQ20" s="1"/>
      <c r="VBR20" s="120"/>
      <c r="VBS20" s="120"/>
      <c r="VBT20" s="120"/>
      <c r="VBU20"/>
      <c r="VBV20"/>
      <c r="VBW20"/>
      <c r="VBX20"/>
      <c r="VBY20"/>
      <c r="VBZ20"/>
      <c r="VCA20"/>
      <c r="VCB20"/>
      <c r="VCC20"/>
      <c r="VCD20"/>
      <c r="VCE20"/>
      <c r="VCF20" s="1"/>
      <c r="VCG20" s="1"/>
      <c r="VCH20" s="1"/>
      <c r="VCI20" s="120"/>
      <c r="VCJ20" s="120"/>
      <c r="VCK20" s="120"/>
      <c r="VCL20"/>
      <c r="VCM20"/>
      <c r="VCN20"/>
      <c r="VCO20"/>
      <c r="VCP20"/>
      <c r="VCQ20"/>
      <c r="VCR20"/>
      <c r="VCS20"/>
      <c r="VCT20"/>
      <c r="VCU20"/>
      <c r="VCV20"/>
      <c r="VCW20" s="1"/>
      <c r="VCX20" s="1"/>
      <c r="VCY20" s="1"/>
      <c r="VCZ20" s="120"/>
      <c r="VDA20" s="120"/>
      <c r="VDB20" s="120"/>
      <c r="VDC20"/>
      <c r="VDD20"/>
      <c r="VDE20"/>
      <c r="VDF20"/>
      <c r="VDG20"/>
      <c r="VDH20"/>
      <c r="VDI20"/>
      <c r="VDJ20"/>
      <c r="VDK20"/>
      <c r="VDL20"/>
      <c r="VDM20"/>
      <c r="VDN20" s="1"/>
      <c r="VDO20" s="1"/>
      <c r="VDP20" s="1"/>
      <c r="VDQ20" s="120"/>
      <c r="VDR20" s="120"/>
      <c r="VDS20" s="120"/>
      <c r="VDT20"/>
      <c r="VDU20"/>
      <c r="VDV20"/>
      <c r="VDW20"/>
      <c r="VDX20"/>
      <c r="VDY20"/>
      <c r="VDZ20"/>
      <c r="VEA20"/>
      <c r="VEB20"/>
      <c r="VEC20"/>
      <c r="VED20"/>
      <c r="VEE20" s="1"/>
      <c r="VEF20" s="1"/>
      <c r="VEG20" s="1"/>
      <c r="VEH20" s="120"/>
      <c r="VEI20" s="120"/>
      <c r="VEJ20" s="120"/>
      <c r="VEK20"/>
      <c r="VEL20"/>
      <c r="VEM20"/>
      <c r="VEN20"/>
      <c r="VEO20"/>
      <c r="VEP20"/>
      <c r="VEQ20"/>
      <c r="VER20"/>
      <c r="VES20"/>
      <c r="VET20"/>
      <c r="VEU20"/>
      <c r="VEV20" s="1"/>
      <c r="VEW20" s="1"/>
      <c r="VEX20" s="1"/>
      <c r="VEY20" s="120"/>
      <c r="VEZ20" s="120"/>
      <c r="VFA20" s="120"/>
      <c r="VFB20"/>
      <c r="VFC20"/>
      <c r="VFD20"/>
      <c r="VFE20"/>
      <c r="VFF20"/>
      <c r="VFG20"/>
      <c r="VFH20"/>
      <c r="VFI20"/>
      <c r="VFJ20"/>
      <c r="VFK20"/>
      <c r="VFL20"/>
      <c r="VFM20" s="1"/>
      <c r="VFN20" s="1"/>
      <c r="VFO20" s="1"/>
      <c r="VFP20" s="120"/>
      <c r="VFQ20" s="120"/>
      <c r="VFR20" s="120"/>
      <c r="VFS20"/>
      <c r="VFT20"/>
      <c r="VFU20"/>
      <c r="VFV20"/>
      <c r="VFW20"/>
      <c r="VFX20"/>
      <c r="VFY20"/>
      <c r="VFZ20"/>
      <c r="VGA20"/>
      <c r="VGB20"/>
      <c r="VGC20"/>
      <c r="VGD20" s="1"/>
      <c r="VGE20" s="1"/>
      <c r="VGF20" s="1"/>
      <c r="VGG20" s="120"/>
      <c r="VGH20" s="120"/>
      <c r="VGI20" s="120"/>
      <c r="VGJ20"/>
      <c r="VGK20"/>
      <c r="VGL20"/>
      <c r="VGM20"/>
      <c r="VGN20"/>
      <c r="VGO20"/>
      <c r="VGP20"/>
      <c r="VGQ20"/>
      <c r="VGR20"/>
      <c r="VGS20"/>
      <c r="VGT20"/>
      <c r="VGU20" s="1"/>
      <c r="VGV20" s="1"/>
      <c r="VGW20" s="1"/>
      <c r="VGX20" s="120"/>
      <c r="VGY20" s="120"/>
      <c r="VGZ20" s="120"/>
      <c r="VHA20"/>
      <c r="VHB20"/>
      <c r="VHC20"/>
      <c r="VHD20"/>
      <c r="VHE20"/>
      <c r="VHF20"/>
      <c r="VHG20"/>
      <c r="VHH20"/>
      <c r="VHI20"/>
      <c r="VHJ20"/>
      <c r="VHK20"/>
      <c r="VHL20" s="1"/>
      <c r="VHM20" s="1"/>
      <c r="VHN20" s="1"/>
      <c r="VHO20" s="120"/>
      <c r="VHP20" s="120"/>
      <c r="VHQ20" s="120"/>
      <c r="VHR20"/>
      <c r="VHS20"/>
      <c r="VHT20"/>
      <c r="VHU20"/>
      <c r="VHV20"/>
      <c r="VHW20"/>
      <c r="VHX20"/>
      <c r="VHY20"/>
      <c r="VHZ20"/>
      <c r="VIA20"/>
      <c r="VIB20"/>
      <c r="VIC20" s="1"/>
      <c r="VID20" s="1"/>
      <c r="VIE20" s="1"/>
      <c r="VIF20" s="120"/>
      <c r="VIG20" s="120"/>
      <c r="VIH20" s="120"/>
      <c r="VII20"/>
      <c r="VIJ20"/>
      <c r="VIK20"/>
      <c r="VIL20"/>
      <c r="VIM20"/>
      <c r="VIN20"/>
      <c r="VIO20"/>
      <c r="VIP20"/>
      <c r="VIQ20"/>
      <c r="VIR20"/>
      <c r="VIS20"/>
      <c r="VIT20" s="1"/>
      <c r="VIU20" s="1"/>
      <c r="VIV20" s="1"/>
      <c r="VIW20" s="120"/>
      <c r="VIX20" s="120"/>
      <c r="VIY20" s="120"/>
      <c r="VIZ20"/>
      <c r="VJA20"/>
      <c r="VJB20"/>
      <c r="VJC20"/>
      <c r="VJD20"/>
      <c r="VJE20"/>
      <c r="VJF20"/>
      <c r="VJG20"/>
      <c r="VJH20"/>
      <c r="VJI20"/>
      <c r="VJJ20"/>
      <c r="VJK20" s="1"/>
      <c r="VJL20" s="1"/>
      <c r="VJM20" s="1"/>
      <c r="VJN20" s="120"/>
      <c r="VJO20" s="120"/>
      <c r="VJP20" s="120"/>
      <c r="VJQ20"/>
      <c r="VJR20"/>
      <c r="VJS20"/>
      <c r="VJT20"/>
      <c r="VJU20"/>
      <c r="VJV20"/>
      <c r="VJW20"/>
      <c r="VJX20"/>
      <c r="VJY20"/>
      <c r="VJZ20"/>
      <c r="VKA20"/>
      <c r="VKB20" s="1"/>
      <c r="VKC20" s="1"/>
      <c r="VKD20" s="1"/>
      <c r="VKE20" s="120"/>
      <c r="VKF20" s="120"/>
      <c r="VKG20" s="120"/>
      <c r="VKH20"/>
      <c r="VKI20"/>
      <c r="VKJ20"/>
      <c r="VKK20"/>
      <c r="VKL20"/>
      <c r="VKM20"/>
      <c r="VKN20"/>
      <c r="VKO20"/>
      <c r="VKP20"/>
      <c r="VKQ20"/>
      <c r="VKR20"/>
      <c r="VKS20" s="1"/>
      <c r="VKT20" s="1"/>
      <c r="VKU20" s="1"/>
      <c r="VKV20" s="120"/>
      <c r="VKW20" s="120"/>
      <c r="VKX20" s="120"/>
      <c r="VKY20"/>
      <c r="VKZ20"/>
      <c r="VLA20"/>
      <c r="VLB20"/>
      <c r="VLC20"/>
      <c r="VLD20"/>
      <c r="VLE20"/>
      <c r="VLF20"/>
      <c r="VLG20"/>
      <c r="VLH20"/>
      <c r="VLI20"/>
      <c r="VLJ20" s="1"/>
      <c r="VLK20" s="1"/>
      <c r="VLL20" s="1"/>
      <c r="VLM20" s="120"/>
      <c r="VLN20" s="120"/>
      <c r="VLO20" s="120"/>
      <c r="VLP20"/>
      <c r="VLQ20"/>
      <c r="VLR20"/>
      <c r="VLS20"/>
      <c r="VLT20"/>
      <c r="VLU20"/>
      <c r="VLV20"/>
      <c r="VLW20"/>
      <c r="VLX20"/>
      <c r="VLY20"/>
      <c r="VLZ20"/>
      <c r="VMA20" s="1"/>
      <c r="VMB20" s="1"/>
      <c r="VMC20" s="1"/>
      <c r="VMD20" s="120"/>
      <c r="VME20" s="120"/>
      <c r="VMF20" s="120"/>
      <c r="VMG20"/>
      <c r="VMH20"/>
      <c r="VMI20"/>
      <c r="VMJ20"/>
      <c r="VMK20"/>
      <c r="VML20"/>
      <c r="VMM20"/>
      <c r="VMN20"/>
      <c r="VMO20"/>
      <c r="VMP20"/>
      <c r="VMQ20"/>
      <c r="VMR20" s="1"/>
      <c r="VMS20" s="1"/>
      <c r="VMT20" s="1"/>
      <c r="VMU20" s="120"/>
      <c r="VMV20" s="120"/>
      <c r="VMW20" s="120"/>
      <c r="VMX20"/>
      <c r="VMY20"/>
      <c r="VMZ20"/>
      <c r="VNA20"/>
      <c r="VNB20"/>
      <c r="VNC20"/>
      <c r="VND20"/>
      <c r="VNE20"/>
      <c r="VNF20"/>
      <c r="VNG20"/>
      <c r="VNH20"/>
      <c r="VNI20" s="1"/>
      <c r="VNJ20" s="1"/>
      <c r="VNK20" s="1"/>
      <c r="VNL20" s="120"/>
      <c r="VNM20" s="120"/>
      <c r="VNN20" s="120"/>
      <c r="VNO20"/>
      <c r="VNP20"/>
      <c r="VNQ20"/>
      <c r="VNR20"/>
      <c r="VNS20"/>
      <c r="VNT20"/>
      <c r="VNU20"/>
      <c r="VNV20"/>
      <c r="VNW20"/>
      <c r="VNX20"/>
      <c r="VNY20"/>
      <c r="VNZ20" s="1"/>
      <c r="VOA20" s="1"/>
      <c r="VOB20" s="1"/>
      <c r="VOC20" s="120"/>
      <c r="VOD20" s="120"/>
      <c r="VOE20" s="120"/>
      <c r="VOF20"/>
      <c r="VOG20"/>
      <c r="VOH20"/>
      <c r="VOI20"/>
      <c r="VOJ20"/>
      <c r="VOK20"/>
      <c r="VOL20"/>
      <c r="VOM20"/>
      <c r="VON20"/>
      <c r="VOO20"/>
      <c r="VOP20"/>
      <c r="VOQ20" s="1"/>
      <c r="VOR20" s="1"/>
      <c r="VOS20" s="1"/>
      <c r="VOT20" s="120"/>
      <c r="VOU20" s="120"/>
      <c r="VOV20" s="120"/>
      <c r="VOW20"/>
      <c r="VOX20"/>
      <c r="VOY20"/>
      <c r="VOZ20"/>
      <c r="VPA20"/>
      <c r="VPB20"/>
      <c r="VPC20"/>
      <c r="VPD20"/>
      <c r="VPE20"/>
      <c r="VPF20"/>
      <c r="VPG20"/>
      <c r="VPH20" s="1"/>
      <c r="VPI20" s="1"/>
      <c r="VPJ20" s="1"/>
      <c r="VPK20" s="120"/>
      <c r="VPL20" s="120"/>
      <c r="VPM20" s="120"/>
      <c r="VPN20"/>
      <c r="VPO20"/>
      <c r="VPP20"/>
      <c r="VPQ20"/>
      <c r="VPR20"/>
      <c r="VPS20"/>
      <c r="VPT20"/>
      <c r="VPU20"/>
      <c r="VPV20"/>
      <c r="VPW20"/>
      <c r="VPX20"/>
      <c r="VPY20" s="1"/>
      <c r="VPZ20" s="1"/>
      <c r="VQA20" s="1"/>
      <c r="VQB20" s="120"/>
      <c r="VQC20" s="120"/>
      <c r="VQD20" s="120"/>
      <c r="VQE20"/>
      <c r="VQF20"/>
      <c r="VQG20"/>
      <c r="VQH20"/>
      <c r="VQI20"/>
      <c r="VQJ20"/>
      <c r="VQK20"/>
      <c r="VQL20"/>
      <c r="VQM20"/>
      <c r="VQN20"/>
      <c r="VQO20"/>
      <c r="VQP20" s="1"/>
      <c r="VQQ20" s="1"/>
      <c r="VQR20" s="1"/>
      <c r="VQS20" s="120"/>
      <c r="VQT20" s="120"/>
      <c r="VQU20" s="120"/>
      <c r="VQV20"/>
      <c r="VQW20"/>
      <c r="VQX20"/>
      <c r="VQY20"/>
      <c r="VQZ20"/>
      <c r="VRA20"/>
      <c r="VRB20"/>
      <c r="VRC20"/>
      <c r="VRD20"/>
      <c r="VRE20"/>
      <c r="VRF20"/>
      <c r="VRG20" s="1"/>
      <c r="VRH20" s="1"/>
      <c r="VRI20" s="1"/>
      <c r="VRJ20" s="120"/>
      <c r="VRK20" s="120"/>
      <c r="VRL20" s="120"/>
      <c r="VRM20"/>
      <c r="VRN20"/>
      <c r="VRO20"/>
      <c r="VRP20"/>
      <c r="VRQ20"/>
      <c r="VRR20"/>
      <c r="VRS20"/>
      <c r="VRT20"/>
      <c r="VRU20"/>
      <c r="VRV20"/>
      <c r="VRW20"/>
      <c r="VRX20" s="1"/>
      <c r="VRY20" s="1"/>
      <c r="VRZ20" s="1"/>
      <c r="VSA20" s="120"/>
      <c r="VSB20" s="120"/>
      <c r="VSC20" s="120"/>
      <c r="VSD20"/>
      <c r="VSE20"/>
      <c r="VSF20"/>
      <c r="VSG20"/>
      <c r="VSH20"/>
      <c r="VSI20"/>
      <c r="VSJ20"/>
      <c r="VSK20"/>
      <c r="VSL20"/>
      <c r="VSM20"/>
      <c r="VSN20"/>
      <c r="VSO20" s="1"/>
      <c r="VSP20" s="1"/>
      <c r="VSQ20" s="1"/>
      <c r="VSR20" s="120"/>
      <c r="VSS20" s="120"/>
      <c r="VST20" s="120"/>
      <c r="VSU20"/>
      <c r="VSV20"/>
      <c r="VSW20"/>
      <c r="VSX20"/>
      <c r="VSY20"/>
      <c r="VSZ20"/>
      <c r="VTA20"/>
      <c r="VTB20"/>
      <c r="VTC20"/>
      <c r="VTD20"/>
      <c r="VTE20"/>
      <c r="VTF20" s="1"/>
      <c r="VTG20" s="1"/>
      <c r="VTH20" s="1"/>
      <c r="VTI20" s="120"/>
      <c r="VTJ20" s="120"/>
      <c r="VTK20" s="120"/>
      <c r="VTL20"/>
      <c r="VTM20"/>
      <c r="VTN20"/>
      <c r="VTO20"/>
      <c r="VTP20"/>
      <c r="VTQ20"/>
      <c r="VTR20"/>
      <c r="VTS20"/>
      <c r="VTT20"/>
      <c r="VTU20"/>
      <c r="VTV20"/>
      <c r="VTW20" s="1"/>
      <c r="VTX20" s="1"/>
      <c r="VTY20" s="1"/>
      <c r="VTZ20" s="120"/>
      <c r="VUA20" s="120"/>
      <c r="VUB20" s="120"/>
      <c r="VUC20"/>
      <c r="VUD20"/>
      <c r="VUE20"/>
      <c r="VUF20"/>
      <c r="VUG20"/>
      <c r="VUH20"/>
      <c r="VUI20"/>
      <c r="VUJ20"/>
      <c r="VUK20"/>
      <c r="VUL20"/>
      <c r="VUM20"/>
      <c r="VUN20" s="1"/>
      <c r="VUO20" s="1"/>
      <c r="VUP20" s="1"/>
      <c r="VUQ20" s="120"/>
      <c r="VUR20" s="120"/>
      <c r="VUS20" s="120"/>
      <c r="VUT20"/>
      <c r="VUU20"/>
      <c r="VUV20"/>
      <c r="VUW20"/>
      <c r="VUX20"/>
      <c r="VUY20"/>
      <c r="VUZ20"/>
      <c r="VVA20"/>
      <c r="VVB20"/>
      <c r="VVC20"/>
      <c r="VVD20"/>
      <c r="VVE20" s="1"/>
      <c r="VVF20" s="1"/>
      <c r="VVG20" s="1"/>
      <c r="VVH20" s="120"/>
      <c r="VVI20" s="120"/>
      <c r="VVJ20" s="120"/>
      <c r="VVK20"/>
      <c r="VVL20"/>
      <c r="VVM20"/>
      <c r="VVN20"/>
      <c r="VVO20"/>
      <c r="VVP20"/>
      <c r="VVQ20"/>
      <c r="VVR20"/>
      <c r="VVS20"/>
      <c r="VVT20"/>
      <c r="VVU20"/>
      <c r="VVV20" s="1"/>
      <c r="VVW20" s="1"/>
      <c r="VVX20" s="1"/>
      <c r="VVY20" s="120"/>
      <c r="VVZ20" s="120"/>
      <c r="VWA20" s="120"/>
      <c r="VWB20"/>
      <c r="VWC20"/>
      <c r="VWD20"/>
      <c r="VWE20"/>
      <c r="VWF20"/>
      <c r="VWG20"/>
      <c r="VWH20"/>
      <c r="VWI20"/>
      <c r="VWJ20"/>
      <c r="VWK20"/>
      <c r="VWL20"/>
      <c r="VWM20" s="1"/>
      <c r="VWN20" s="1"/>
      <c r="VWO20" s="1"/>
      <c r="VWP20" s="120"/>
      <c r="VWQ20" s="120"/>
      <c r="VWR20" s="120"/>
      <c r="VWS20"/>
      <c r="VWT20"/>
      <c r="VWU20"/>
      <c r="VWV20"/>
      <c r="VWW20"/>
      <c r="VWX20"/>
      <c r="VWY20"/>
      <c r="VWZ20"/>
      <c r="VXA20"/>
      <c r="VXB20"/>
      <c r="VXC20"/>
      <c r="VXD20" s="1"/>
      <c r="VXE20" s="1"/>
      <c r="VXF20" s="1"/>
      <c r="VXG20" s="120"/>
      <c r="VXH20" s="120"/>
      <c r="VXI20" s="120"/>
      <c r="VXJ20"/>
      <c r="VXK20"/>
      <c r="VXL20"/>
      <c r="VXM20"/>
      <c r="VXN20"/>
      <c r="VXO20"/>
      <c r="VXP20"/>
      <c r="VXQ20"/>
      <c r="VXR20"/>
      <c r="VXS20"/>
      <c r="VXT20"/>
      <c r="VXU20" s="1"/>
      <c r="VXV20" s="1"/>
      <c r="VXW20" s="1"/>
      <c r="VXX20" s="120"/>
      <c r="VXY20" s="120"/>
      <c r="VXZ20" s="120"/>
      <c r="VYA20"/>
      <c r="VYB20"/>
      <c r="VYC20"/>
      <c r="VYD20"/>
      <c r="VYE20"/>
      <c r="VYF20"/>
      <c r="VYG20"/>
      <c r="VYH20"/>
      <c r="VYI20"/>
      <c r="VYJ20"/>
      <c r="VYK20"/>
      <c r="VYL20" s="1"/>
      <c r="VYM20" s="1"/>
      <c r="VYN20" s="1"/>
      <c r="VYO20" s="120"/>
      <c r="VYP20" s="120"/>
      <c r="VYQ20" s="120"/>
      <c r="VYR20"/>
      <c r="VYS20"/>
      <c r="VYT20"/>
      <c r="VYU20"/>
      <c r="VYV20"/>
      <c r="VYW20"/>
      <c r="VYX20"/>
      <c r="VYY20"/>
      <c r="VYZ20"/>
      <c r="VZA20"/>
      <c r="VZB20"/>
      <c r="VZC20" s="1"/>
      <c r="VZD20" s="1"/>
      <c r="VZE20" s="1"/>
      <c r="VZF20" s="120"/>
      <c r="VZG20" s="120"/>
      <c r="VZH20" s="120"/>
      <c r="VZI20"/>
      <c r="VZJ20"/>
      <c r="VZK20"/>
      <c r="VZL20"/>
      <c r="VZM20"/>
      <c r="VZN20"/>
      <c r="VZO20"/>
      <c r="VZP20"/>
      <c r="VZQ20"/>
      <c r="VZR20"/>
      <c r="VZS20"/>
      <c r="VZT20" s="1"/>
      <c r="VZU20" s="1"/>
      <c r="VZV20" s="1"/>
      <c r="VZW20" s="120"/>
      <c r="VZX20" s="120"/>
      <c r="VZY20" s="120"/>
      <c r="VZZ20"/>
      <c r="WAA20"/>
      <c r="WAB20"/>
      <c r="WAC20"/>
      <c r="WAD20"/>
      <c r="WAE20"/>
      <c r="WAF20"/>
      <c r="WAG20"/>
      <c r="WAH20"/>
      <c r="WAI20"/>
      <c r="WAJ20"/>
      <c r="WAK20" s="1"/>
      <c r="WAL20" s="1"/>
      <c r="WAM20" s="1"/>
      <c r="WAN20" s="120"/>
      <c r="WAO20" s="120"/>
      <c r="WAP20" s="120"/>
      <c r="WAQ20"/>
      <c r="WAR20"/>
      <c r="WAS20"/>
      <c r="WAT20"/>
      <c r="WAU20"/>
      <c r="WAV20"/>
      <c r="WAW20"/>
      <c r="WAX20"/>
      <c r="WAY20"/>
      <c r="WAZ20"/>
      <c r="WBA20"/>
      <c r="WBB20" s="1"/>
      <c r="WBC20" s="1"/>
      <c r="WBD20" s="1"/>
      <c r="WBE20" s="120"/>
      <c r="WBF20" s="120"/>
      <c r="WBG20" s="120"/>
      <c r="WBH20"/>
      <c r="WBI20"/>
      <c r="WBJ20"/>
      <c r="WBK20"/>
      <c r="WBL20"/>
      <c r="WBM20"/>
      <c r="WBN20"/>
      <c r="WBO20"/>
      <c r="WBP20"/>
      <c r="WBQ20"/>
      <c r="WBR20"/>
      <c r="WBS20" s="1"/>
      <c r="WBT20" s="1"/>
      <c r="WBU20" s="1"/>
      <c r="WBV20" s="120"/>
      <c r="WBW20" s="120"/>
      <c r="WBX20" s="120"/>
      <c r="WBY20"/>
      <c r="WBZ20"/>
      <c r="WCA20"/>
      <c r="WCB20"/>
      <c r="WCC20"/>
      <c r="WCD20"/>
      <c r="WCE20"/>
      <c r="WCF20"/>
      <c r="WCG20"/>
      <c r="WCH20"/>
      <c r="WCI20"/>
      <c r="WCJ20" s="1"/>
      <c r="WCK20" s="1"/>
      <c r="WCL20" s="1"/>
      <c r="WCM20" s="120"/>
      <c r="WCN20" s="120"/>
      <c r="WCO20" s="120"/>
      <c r="WCP20"/>
      <c r="WCQ20"/>
      <c r="WCR20"/>
      <c r="WCS20"/>
      <c r="WCT20"/>
      <c r="WCU20"/>
      <c r="WCV20"/>
      <c r="WCW20"/>
      <c r="WCX20"/>
      <c r="WCY20"/>
      <c r="WCZ20"/>
      <c r="WDA20" s="1"/>
      <c r="WDB20" s="1"/>
      <c r="WDC20" s="1"/>
      <c r="WDD20" s="120"/>
      <c r="WDE20" s="120"/>
      <c r="WDF20" s="120"/>
      <c r="WDG20"/>
      <c r="WDH20"/>
      <c r="WDI20"/>
      <c r="WDJ20"/>
      <c r="WDK20"/>
      <c r="WDL20"/>
      <c r="WDM20"/>
      <c r="WDN20"/>
      <c r="WDO20"/>
      <c r="WDP20"/>
      <c r="WDQ20"/>
      <c r="WDR20" s="1"/>
      <c r="WDS20" s="1"/>
      <c r="WDT20" s="1"/>
      <c r="WDU20" s="120"/>
      <c r="WDV20" s="120"/>
      <c r="WDW20" s="120"/>
      <c r="WDX20"/>
      <c r="WDY20"/>
      <c r="WDZ20"/>
      <c r="WEA20"/>
      <c r="WEB20"/>
      <c r="WEC20"/>
      <c r="WED20"/>
      <c r="WEE20"/>
      <c r="WEF20"/>
      <c r="WEG20"/>
      <c r="WEH20"/>
      <c r="WEI20" s="1"/>
      <c r="WEJ20" s="1"/>
      <c r="WEK20" s="1"/>
      <c r="WEL20" s="120"/>
      <c r="WEM20" s="120"/>
      <c r="WEN20" s="120"/>
      <c r="WEO20"/>
      <c r="WEP20"/>
      <c r="WEQ20"/>
      <c r="WER20"/>
      <c r="WES20"/>
      <c r="WET20"/>
      <c r="WEU20"/>
      <c r="WEV20"/>
      <c r="WEW20"/>
      <c r="WEX20"/>
      <c r="WEY20"/>
      <c r="WEZ20" s="1"/>
      <c r="WFA20" s="1"/>
      <c r="WFB20" s="1"/>
      <c r="WFC20" s="120"/>
      <c r="WFD20" s="120"/>
      <c r="WFE20" s="120"/>
      <c r="WFF20"/>
      <c r="WFG20"/>
      <c r="WFH20"/>
      <c r="WFI20"/>
      <c r="WFJ20"/>
      <c r="WFK20"/>
      <c r="WFL20"/>
      <c r="WFM20"/>
      <c r="WFN20"/>
      <c r="WFO20"/>
      <c r="WFP20"/>
      <c r="WFQ20" s="1"/>
      <c r="WFR20" s="1"/>
      <c r="WFS20" s="1"/>
      <c r="WFT20" s="120"/>
      <c r="WFU20" s="120"/>
      <c r="WFV20" s="120"/>
      <c r="WFW20"/>
      <c r="WFX20"/>
      <c r="WFY20"/>
      <c r="WFZ20"/>
      <c r="WGA20"/>
      <c r="WGB20"/>
      <c r="WGC20"/>
      <c r="WGD20"/>
      <c r="WGE20"/>
      <c r="WGF20"/>
      <c r="WGG20"/>
      <c r="WGH20" s="1"/>
      <c r="WGI20" s="1"/>
      <c r="WGJ20" s="1"/>
      <c r="WGK20" s="120"/>
      <c r="WGL20" s="120"/>
      <c r="WGM20" s="120"/>
      <c r="WGN20"/>
      <c r="WGO20"/>
      <c r="WGP20"/>
      <c r="WGQ20"/>
      <c r="WGR20"/>
      <c r="WGS20"/>
      <c r="WGT20"/>
      <c r="WGU20"/>
      <c r="WGV20"/>
      <c r="WGW20"/>
      <c r="WGX20"/>
      <c r="WGY20" s="1"/>
      <c r="WGZ20" s="1"/>
      <c r="WHA20" s="1"/>
      <c r="WHB20" s="120"/>
      <c r="WHC20" s="120"/>
      <c r="WHD20" s="120"/>
      <c r="WHE20"/>
      <c r="WHF20"/>
      <c r="WHG20"/>
      <c r="WHH20"/>
      <c r="WHI20"/>
      <c r="WHJ20"/>
      <c r="WHK20"/>
      <c r="WHL20"/>
      <c r="WHM20"/>
      <c r="WHN20"/>
      <c r="WHO20"/>
      <c r="WHP20" s="1"/>
      <c r="WHQ20" s="1"/>
      <c r="WHR20" s="1"/>
      <c r="WHS20" s="120"/>
      <c r="WHT20" s="120"/>
      <c r="WHU20" s="120"/>
      <c r="WHV20"/>
      <c r="WHW20"/>
      <c r="WHX20"/>
      <c r="WHY20"/>
      <c r="WHZ20"/>
      <c r="WIA20"/>
      <c r="WIB20"/>
      <c r="WIC20"/>
      <c r="WID20"/>
      <c r="WIE20"/>
      <c r="WIF20"/>
      <c r="WIG20" s="1"/>
      <c r="WIH20" s="1"/>
      <c r="WII20" s="1"/>
      <c r="WIJ20" s="120"/>
      <c r="WIK20" s="120"/>
      <c r="WIL20" s="120"/>
      <c r="WIM20"/>
      <c r="WIN20"/>
      <c r="WIO20"/>
      <c r="WIP20"/>
      <c r="WIQ20"/>
      <c r="WIR20"/>
      <c r="WIS20"/>
      <c r="WIT20"/>
      <c r="WIU20"/>
      <c r="WIV20"/>
      <c r="WIW20"/>
      <c r="WIX20" s="1"/>
      <c r="WIY20" s="1"/>
      <c r="WIZ20" s="1"/>
      <c r="WJA20" s="120"/>
      <c r="WJB20" s="120"/>
      <c r="WJC20" s="120"/>
      <c r="WJD20"/>
      <c r="WJE20"/>
      <c r="WJF20"/>
      <c r="WJG20"/>
      <c r="WJH20"/>
      <c r="WJI20"/>
      <c r="WJJ20"/>
      <c r="WJK20"/>
      <c r="WJL20"/>
      <c r="WJM20"/>
      <c r="WJN20"/>
      <c r="WJO20" s="1"/>
      <c r="WJP20" s="1"/>
      <c r="WJQ20" s="1"/>
      <c r="WJR20" s="120"/>
      <c r="WJS20" s="120"/>
      <c r="WJT20" s="120"/>
      <c r="WJU20"/>
      <c r="WJV20"/>
      <c r="WJW20"/>
      <c r="WJX20"/>
      <c r="WJY20"/>
      <c r="WJZ20"/>
      <c r="WKA20"/>
      <c r="WKB20"/>
      <c r="WKC20"/>
      <c r="WKD20"/>
      <c r="WKE20"/>
      <c r="WKF20" s="1"/>
      <c r="WKG20" s="1"/>
      <c r="WKH20" s="1"/>
      <c r="WKI20" s="120"/>
      <c r="WKJ20" s="120"/>
      <c r="WKK20" s="120"/>
      <c r="WKL20"/>
      <c r="WKM20"/>
      <c r="WKN20"/>
      <c r="WKO20"/>
      <c r="WKP20"/>
      <c r="WKQ20"/>
      <c r="WKR20"/>
      <c r="WKS20"/>
      <c r="WKT20"/>
      <c r="WKU20"/>
      <c r="WKV20"/>
      <c r="WKW20" s="1"/>
      <c r="WKX20" s="1"/>
      <c r="WKY20" s="1"/>
      <c r="WKZ20" s="120"/>
      <c r="WLA20" s="120"/>
      <c r="WLB20" s="120"/>
      <c r="WLC20"/>
      <c r="WLD20"/>
      <c r="WLE20"/>
      <c r="WLF20"/>
      <c r="WLG20"/>
      <c r="WLH20"/>
      <c r="WLI20"/>
      <c r="WLJ20"/>
      <c r="WLK20"/>
      <c r="WLL20"/>
      <c r="WLM20"/>
      <c r="WLN20" s="1"/>
      <c r="WLO20" s="1"/>
      <c r="WLP20" s="1"/>
      <c r="WLQ20" s="120"/>
      <c r="WLR20" s="120"/>
      <c r="WLS20" s="120"/>
      <c r="WLT20"/>
      <c r="WLU20"/>
      <c r="WLV20"/>
      <c r="WLW20"/>
      <c r="WLX20"/>
      <c r="WLY20"/>
      <c r="WLZ20"/>
      <c r="WMA20"/>
      <c r="WMB20"/>
      <c r="WMC20"/>
      <c r="WMD20"/>
      <c r="WME20" s="1"/>
      <c r="WMF20" s="1"/>
      <c r="WMG20" s="1"/>
      <c r="WMH20" s="120"/>
      <c r="WMI20" s="120"/>
      <c r="WMJ20" s="120"/>
      <c r="WMK20"/>
      <c r="WML20"/>
      <c r="WMM20"/>
      <c r="WMN20"/>
      <c r="WMO20"/>
      <c r="WMP20"/>
      <c r="WMQ20"/>
      <c r="WMR20"/>
      <c r="WMS20"/>
      <c r="WMT20"/>
      <c r="WMU20"/>
      <c r="WMV20" s="1"/>
      <c r="WMW20" s="1"/>
      <c r="WMX20" s="1"/>
      <c r="WMY20" s="120"/>
      <c r="WMZ20" s="120"/>
      <c r="WNA20" s="120"/>
      <c r="WNB20"/>
      <c r="WNC20"/>
      <c r="WND20"/>
      <c r="WNE20"/>
      <c r="WNF20"/>
      <c r="WNG20"/>
      <c r="WNH20"/>
      <c r="WNI20"/>
      <c r="WNJ20"/>
      <c r="WNK20"/>
      <c r="WNL20"/>
      <c r="WNM20" s="1"/>
      <c r="WNN20" s="1"/>
      <c r="WNO20" s="1"/>
      <c r="WNP20" s="120"/>
      <c r="WNQ20" s="120"/>
      <c r="WNR20" s="120"/>
      <c r="WNS20"/>
      <c r="WNT20"/>
      <c r="WNU20"/>
      <c r="WNV20"/>
      <c r="WNW20"/>
      <c r="WNX20"/>
      <c r="WNY20"/>
      <c r="WNZ20"/>
      <c r="WOA20"/>
      <c r="WOB20"/>
      <c r="WOC20"/>
      <c r="WOD20" s="1"/>
      <c r="WOE20" s="1"/>
      <c r="WOF20" s="1"/>
      <c r="WOG20" s="120"/>
      <c r="WOH20" s="120"/>
      <c r="WOI20" s="120"/>
      <c r="WOJ20"/>
      <c r="WOK20"/>
      <c r="WOL20"/>
      <c r="WOM20"/>
      <c r="WON20"/>
      <c r="WOO20"/>
      <c r="WOP20"/>
      <c r="WOQ20"/>
      <c r="WOR20"/>
      <c r="WOS20"/>
      <c r="WOT20"/>
      <c r="WOU20" s="1"/>
      <c r="WOV20" s="1"/>
      <c r="WOW20" s="1"/>
      <c r="WOX20" s="120"/>
      <c r="WOY20" s="120"/>
      <c r="WOZ20" s="120"/>
      <c r="WPA20"/>
      <c r="WPB20"/>
      <c r="WPC20"/>
      <c r="WPD20"/>
      <c r="WPE20"/>
      <c r="WPF20"/>
      <c r="WPG20"/>
      <c r="WPH20"/>
      <c r="WPI20"/>
      <c r="WPJ20"/>
      <c r="WPK20"/>
      <c r="WPL20" s="1"/>
      <c r="WPM20" s="1"/>
      <c r="WPN20" s="1"/>
      <c r="WPO20" s="120"/>
      <c r="WPP20" s="120"/>
      <c r="WPQ20" s="120"/>
      <c r="WPR20"/>
      <c r="WPS20"/>
      <c r="WPT20"/>
      <c r="WPU20"/>
      <c r="WPV20"/>
      <c r="WPW20"/>
      <c r="WPX20"/>
      <c r="WPY20"/>
      <c r="WPZ20"/>
      <c r="WQA20"/>
      <c r="WQB20"/>
      <c r="WQC20" s="1"/>
      <c r="WQD20" s="1"/>
      <c r="WQE20" s="1"/>
      <c r="WQF20" s="120"/>
      <c r="WQG20" s="120"/>
      <c r="WQH20" s="120"/>
      <c r="WQI20"/>
      <c r="WQJ20"/>
      <c r="WQK20"/>
      <c r="WQL20"/>
      <c r="WQM20"/>
      <c r="WQN20"/>
      <c r="WQO20"/>
      <c r="WQP20"/>
      <c r="WQQ20"/>
      <c r="WQR20"/>
      <c r="WQS20"/>
      <c r="WQT20" s="1"/>
      <c r="WQU20" s="1"/>
      <c r="WQV20" s="1"/>
      <c r="WQW20" s="120"/>
      <c r="WQX20" s="120"/>
      <c r="WQY20" s="120"/>
      <c r="WQZ20"/>
      <c r="WRA20"/>
      <c r="WRB20"/>
      <c r="WRC20"/>
      <c r="WRD20"/>
      <c r="WRE20"/>
      <c r="WRF20"/>
      <c r="WRG20"/>
      <c r="WRH20"/>
      <c r="WRI20"/>
      <c r="WRJ20"/>
      <c r="WRK20" s="1"/>
      <c r="WRL20" s="1"/>
      <c r="WRM20" s="1"/>
      <c r="WRN20" s="120"/>
      <c r="WRO20" s="120"/>
      <c r="WRP20" s="120"/>
      <c r="WRQ20"/>
      <c r="WRR20"/>
      <c r="WRS20"/>
      <c r="WRT20"/>
      <c r="WRU20"/>
      <c r="WRV20"/>
      <c r="WRW20"/>
      <c r="WRX20"/>
      <c r="WRY20"/>
      <c r="WRZ20"/>
      <c r="WSA20"/>
      <c r="WSB20" s="1"/>
      <c r="WSC20" s="1"/>
      <c r="WSD20" s="1"/>
      <c r="WSE20" s="120"/>
      <c r="WSF20" s="120"/>
      <c r="WSG20" s="120"/>
      <c r="WSH20"/>
      <c r="WSI20"/>
      <c r="WSJ20"/>
      <c r="WSK20"/>
      <c r="WSL20"/>
      <c r="WSM20"/>
      <c r="WSN20"/>
      <c r="WSO20"/>
      <c r="WSP20"/>
      <c r="WSQ20"/>
      <c r="WSR20"/>
      <c r="WSS20" s="1"/>
      <c r="WST20" s="1"/>
      <c r="WSU20" s="1"/>
      <c r="WSV20" s="120"/>
      <c r="WSW20" s="120"/>
      <c r="WSX20" s="120"/>
      <c r="WSY20"/>
      <c r="WSZ20"/>
      <c r="WTA20"/>
      <c r="WTB20"/>
      <c r="WTC20"/>
      <c r="WTD20"/>
      <c r="WTE20"/>
      <c r="WTF20"/>
      <c r="WTG20"/>
      <c r="WTH20"/>
      <c r="WTI20"/>
      <c r="WTJ20" s="1"/>
      <c r="WTK20" s="1"/>
      <c r="WTL20" s="1"/>
      <c r="WTM20" s="120"/>
      <c r="WTN20" s="120"/>
      <c r="WTO20" s="120"/>
      <c r="WTP20"/>
      <c r="WTQ20"/>
      <c r="WTR20"/>
      <c r="WTS20"/>
      <c r="WTT20"/>
      <c r="WTU20"/>
      <c r="WTV20"/>
      <c r="WTW20"/>
      <c r="WTX20"/>
      <c r="WTY20"/>
      <c r="WTZ20"/>
      <c r="WUA20" s="1"/>
      <c r="WUB20" s="1"/>
      <c r="WUC20" s="1"/>
      <c r="WUD20" s="120"/>
      <c r="WUE20" s="120"/>
      <c r="WUF20" s="120"/>
      <c r="WUG20"/>
      <c r="WUH20"/>
      <c r="WUI20"/>
      <c r="WUJ20"/>
      <c r="WUK20"/>
      <c r="WUL20"/>
      <c r="WUM20"/>
      <c r="WUN20"/>
      <c r="WUO20"/>
      <c r="WUP20"/>
      <c r="WUQ20"/>
      <c r="WUR20" s="1"/>
      <c r="WUS20" s="1"/>
      <c r="WUT20" s="1"/>
      <c r="WUU20" s="120"/>
      <c r="WUV20" s="120"/>
      <c r="WUW20" s="120"/>
      <c r="WUX20"/>
      <c r="WUY20"/>
      <c r="WUZ20"/>
      <c r="WVA20"/>
      <c r="WVB20"/>
      <c r="WVC20"/>
      <c r="WVD20"/>
      <c r="WVE20"/>
      <c r="WVF20"/>
      <c r="WVG20"/>
      <c r="WVH20"/>
      <c r="WVI20" s="1"/>
      <c r="WVJ20" s="1"/>
      <c r="WVK20" s="1"/>
      <c r="WVL20" s="120"/>
      <c r="WVM20" s="120"/>
      <c r="WVN20" s="120"/>
      <c r="WVO20"/>
      <c r="WVP20"/>
      <c r="WVQ20"/>
      <c r="WVR20"/>
      <c r="WVS20"/>
      <c r="WVT20"/>
      <c r="WVU20"/>
      <c r="WVV20"/>
      <c r="WVW20"/>
      <c r="WVX20"/>
      <c r="WVY20"/>
      <c r="WVZ20" s="1"/>
      <c r="WWA20" s="1"/>
      <c r="WWB20" s="1"/>
      <c r="WWC20" s="120"/>
      <c r="WWD20" s="120"/>
      <c r="WWE20" s="120"/>
      <c r="WWF20"/>
      <c r="WWG20"/>
      <c r="WWH20"/>
      <c r="WWI20"/>
      <c r="WWJ20"/>
      <c r="WWK20"/>
      <c r="WWL20"/>
      <c r="WWM20"/>
      <c r="WWN20"/>
      <c r="WWO20"/>
      <c r="WWP20"/>
      <c r="WWQ20" s="1"/>
      <c r="WWR20" s="1"/>
      <c r="WWS20" s="1"/>
      <c r="WWT20" s="120"/>
      <c r="WWU20" s="120"/>
      <c r="WWV20" s="120"/>
      <c r="WWW20"/>
      <c r="WWX20"/>
      <c r="WWY20"/>
      <c r="WWZ20"/>
      <c r="WXA20"/>
      <c r="WXB20"/>
      <c r="WXC20"/>
      <c r="WXD20"/>
      <c r="WXE20"/>
      <c r="WXF20"/>
      <c r="WXG20"/>
      <c r="WXH20" s="1"/>
      <c r="WXI20" s="1"/>
      <c r="WXJ20" s="1"/>
      <c r="WXK20" s="120"/>
      <c r="WXL20" s="120"/>
      <c r="WXM20" s="120"/>
      <c r="WXN20"/>
      <c r="WXO20"/>
      <c r="WXP20"/>
      <c r="WXQ20"/>
      <c r="WXR20"/>
      <c r="WXS20"/>
      <c r="WXT20"/>
      <c r="WXU20"/>
      <c r="WXV20"/>
      <c r="WXW20"/>
      <c r="WXX20"/>
      <c r="WXY20" s="1"/>
      <c r="WXZ20" s="1"/>
      <c r="WYA20" s="1"/>
      <c r="WYB20" s="120"/>
      <c r="WYC20" s="120"/>
      <c r="WYD20" s="120"/>
      <c r="WYE20"/>
      <c r="WYF20"/>
      <c r="WYG20"/>
      <c r="WYH20"/>
      <c r="WYI20"/>
      <c r="WYJ20"/>
      <c r="WYK20"/>
      <c r="WYL20"/>
      <c r="WYM20"/>
      <c r="WYN20"/>
      <c r="WYO20"/>
      <c r="WYP20" s="1"/>
      <c r="WYQ20" s="1"/>
      <c r="WYR20" s="1"/>
      <c r="WYS20" s="120"/>
      <c r="WYT20" s="120"/>
      <c r="WYU20" s="120"/>
      <c r="WYV20"/>
      <c r="WYW20"/>
      <c r="WYX20"/>
      <c r="WYY20"/>
      <c r="WYZ20"/>
      <c r="WZA20"/>
      <c r="WZB20"/>
      <c r="WZC20"/>
      <c r="WZD20"/>
      <c r="WZE20"/>
      <c r="WZF20"/>
      <c r="WZG20" s="1"/>
      <c r="WZH20" s="1"/>
      <c r="WZI20" s="1"/>
      <c r="WZJ20" s="120"/>
      <c r="WZK20" s="120"/>
      <c r="WZL20" s="120"/>
      <c r="WZM20"/>
      <c r="WZN20"/>
      <c r="WZO20"/>
      <c r="WZP20"/>
      <c r="WZQ20"/>
      <c r="WZR20"/>
      <c r="WZS20"/>
      <c r="WZT20"/>
      <c r="WZU20"/>
      <c r="WZV20"/>
      <c r="WZW20"/>
      <c r="WZX20" s="1"/>
      <c r="WZY20" s="1"/>
      <c r="WZZ20" s="1"/>
      <c r="XAA20" s="120"/>
      <c r="XAB20" s="120"/>
      <c r="XAC20" s="120"/>
      <c r="XAD20"/>
      <c r="XAE20"/>
      <c r="XAF20"/>
      <c r="XAG20"/>
      <c r="XAH20"/>
      <c r="XAI20"/>
      <c r="XAJ20"/>
      <c r="XAK20"/>
      <c r="XAL20"/>
      <c r="XAM20"/>
      <c r="XAN20"/>
      <c r="XAO20" s="1"/>
      <c r="XAP20" s="1"/>
      <c r="XAQ20" s="1"/>
      <c r="XAR20" s="120"/>
      <c r="XAS20" s="120"/>
      <c r="XAT20" s="120"/>
      <c r="XAU20"/>
      <c r="XAV20"/>
      <c r="XAW20"/>
      <c r="XAX20"/>
      <c r="XAY20"/>
      <c r="XAZ20"/>
      <c r="XBA20"/>
      <c r="XBB20"/>
      <c r="XBC20"/>
      <c r="XBD20"/>
      <c r="XBE20"/>
      <c r="XBF20" s="1"/>
      <c r="XBG20" s="1"/>
      <c r="XBH20" s="1"/>
      <c r="XBI20" s="120"/>
      <c r="XBJ20" s="120"/>
      <c r="XBK20" s="120"/>
      <c r="XBL20"/>
      <c r="XBM20"/>
      <c r="XBN20"/>
      <c r="XBO20"/>
      <c r="XBP20"/>
      <c r="XBQ20"/>
      <c r="XBR20"/>
      <c r="XBS20"/>
      <c r="XBT20"/>
      <c r="XBU20"/>
      <c r="XBV20"/>
      <c r="XBW20" s="1"/>
      <c r="XBX20" s="1"/>
      <c r="XBY20" s="1"/>
      <c r="XBZ20" s="120"/>
      <c r="XCA20" s="120"/>
      <c r="XCB20" s="120"/>
      <c r="XCC20"/>
      <c r="XCD20"/>
      <c r="XCE20"/>
      <c r="XCF20"/>
      <c r="XCG20"/>
      <c r="XCH20"/>
      <c r="XCI20"/>
      <c r="XCJ20"/>
      <c r="XCK20"/>
      <c r="XCL20"/>
      <c r="XCM20"/>
      <c r="XCN20" s="1"/>
      <c r="XCO20" s="1"/>
      <c r="XCP20" s="1"/>
      <c r="XCQ20" s="120"/>
      <c r="XCR20" s="120"/>
      <c r="XCS20" s="120"/>
      <c r="XCT20"/>
      <c r="XCU20"/>
      <c r="XCV20"/>
      <c r="XCW20"/>
      <c r="XCX20"/>
      <c r="XCY20"/>
      <c r="XCZ20"/>
      <c r="XDA20"/>
      <c r="XDB20"/>
      <c r="XDC20"/>
      <c r="XDD20"/>
      <c r="XDE20" s="1"/>
      <c r="XDF20" s="1"/>
      <c r="XDG20" s="1"/>
      <c r="XDH20" s="120"/>
      <c r="XDI20" s="120"/>
      <c r="XDJ20" s="120"/>
      <c r="XDK20"/>
      <c r="XDL20"/>
      <c r="XDM20"/>
      <c r="XDN20"/>
      <c r="XDO20"/>
      <c r="XDP20"/>
      <c r="XDQ20"/>
      <c r="XDR20"/>
      <c r="XDS20"/>
      <c r="XDT20"/>
      <c r="XDU20"/>
      <c r="XDV20" s="1"/>
      <c r="XDW20" s="1"/>
      <c r="XDX20" s="1"/>
      <c r="XDY20" s="120"/>
      <c r="XDZ20" s="120"/>
      <c r="XEA20" s="120"/>
      <c r="XEB20"/>
      <c r="XEC20"/>
      <c r="XED20"/>
      <c r="XEE20"/>
      <c r="XEF20"/>
      <c r="XEG20"/>
      <c r="XEH20"/>
      <c r="XEI20"/>
      <c r="XEJ20"/>
      <c r="XEK20"/>
      <c r="XEL20"/>
      <c r="XEM20" s="1"/>
      <c r="XEN20" s="1"/>
      <c r="XEO20" s="1"/>
      <c r="XEP20" s="120"/>
      <c r="XEQ20" s="120"/>
      <c r="XER20" s="120"/>
      <c r="XES20"/>
      <c r="XET20"/>
      <c r="XEU20"/>
      <c r="XEV20"/>
      <c r="XEW20"/>
      <c r="XEX20"/>
      <c r="XEY20"/>
      <c r="XEZ20"/>
      <c r="XFA20"/>
      <c r="XFB20"/>
      <c r="XFC20"/>
      <c r="XFD20" s="1"/>
    </row>
    <row r="21" spans="1:16384" customFormat="1" ht="15" thickBot="1" x14ac:dyDescent="0.4">
      <c r="A21" s="144">
        <v>20</v>
      </c>
      <c r="B21" s="169" t="s">
        <v>40</v>
      </c>
      <c r="C21" s="169" t="s">
        <v>104</v>
      </c>
      <c r="D21" s="15" t="s">
        <v>62</v>
      </c>
      <c r="E21" s="15" t="s">
        <v>67</v>
      </c>
      <c r="F21" s="15" t="s">
        <v>82</v>
      </c>
      <c r="G21" s="169" t="s">
        <v>68</v>
      </c>
      <c r="H21" s="15" t="s">
        <v>65</v>
      </c>
      <c r="I21" s="15" t="s">
        <v>59</v>
      </c>
      <c r="J21" s="15"/>
      <c r="K21" s="145"/>
      <c r="L21" s="146">
        <v>31996</v>
      </c>
      <c r="M21" s="146">
        <v>40356</v>
      </c>
      <c r="N21" s="146">
        <f t="shared" si="0"/>
        <v>8360</v>
      </c>
      <c r="O21" s="147">
        <v>7.7699999999999991E-2</v>
      </c>
      <c r="P21" s="147">
        <v>0.1255</v>
      </c>
      <c r="Q21" s="147">
        <v>0.1409</v>
      </c>
      <c r="R21" s="147"/>
      <c r="S21" s="15" t="s">
        <v>99</v>
      </c>
      <c r="T21" s="148">
        <f t="shared" si="1"/>
        <v>3135.6611999999996</v>
      </c>
      <c r="U21" s="17"/>
    </row>
    <row r="22" spans="1:16384" customFormat="1" x14ac:dyDescent="0.35">
      <c r="A22" s="132">
        <v>1</v>
      </c>
      <c r="B22" s="167" t="s">
        <v>41</v>
      </c>
      <c r="C22" s="167" t="s">
        <v>106</v>
      </c>
      <c r="D22" s="10" t="s">
        <v>118</v>
      </c>
      <c r="E22" s="10" t="s">
        <v>63</v>
      </c>
      <c r="F22" s="10" t="s">
        <v>83</v>
      </c>
      <c r="G22" s="167" t="s">
        <v>146</v>
      </c>
      <c r="H22" s="10" t="s">
        <v>71</v>
      </c>
      <c r="I22" s="10" t="s">
        <v>70</v>
      </c>
      <c r="J22" s="10" t="s">
        <v>87</v>
      </c>
      <c r="K22" s="133"/>
      <c r="L22" s="134">
        <f>4524*$V$1</f>
        <v>6514.6504800000002</v>
      </c>
      <c r="M22" s="134">
        <f>4400*$V$1</f>
        <v>6336.0880000000006</v>
      </c>
      <c r="N22" s="134">
        <f t="shared" si="0"/>
        <v>-178.5624799999996</v>
      </c>
      <c r="O22" s="135">
        <v>0.1724</v>
      </c>
      <c r="P22" s="135">
        <v>4.71</v>
      </c>
      <c r="Q22" s="135">
        <v>8.5800000000000001E-2</v>
      </c>
      <c r="R22" s="135" t="s">
        <v>151</v>
      </c>
      <c r="S22" s="10">
        <v>16.7</v>
      </c>
      <c r="T22" s="136">
        <f t="shared" si="1"/>
        <v>1092.3415712000001</v>
      </c>
      <c r="U22" s="11" t="s">
        <v>150</v>
      </c>
    </row>
    <row r="23" spans="1:16384" customFormat="1" x14ac:dyDescent="0.35">
      <c r="A23" s="137">
        <v>2</v>
      </c>
      <c r="B23" s="168" t="s">
        <v>41</v>
      </c>
      <c r="C23" s="168" t="s">
        <v>77</v>
      </c>
      <c r="D23" t="s">
        <v>62</v>
      </c>
      <c r="E23" t="s">
        <v>67</v>
      </c>
      <c r="F23" t="s">
        <v>83</v>
      </c>
      <c r="G23" s="168" t="s">
        <v>73</v>
      </c>
      <c r="H23" t="s">
        <v>56</v>
      </c>
      <c r="I23" t="s">
        <v>59</v>
      </c>
      <c r="J23" t="s">
        <v>87</v>
      </c>
      <c r="K23" s="138"/>
      <c r="L23" s="139">
        <v>10866</v>
      </c>
      <c r="M23" s="139">
        <v>10852</v>
      </c>
      <c r="N23" s="139">
        <f t="shared" si="0"/>
        <v>-14</v>
      </c>
      <c r="O23" s="140">
        <v>5.9900000000000002E-2</v>
      </c>
      <c r="P23" s="140">
        <v>0.1192</v>
      </c>
      <c r="Q23" s="140">
        <v>0.52</v>
      </c>
      <c r="R23" s="140"/>
      <c r="S23" t="s">
        <v>99</v>
      </c>
      <c r="T23" s="141">
        <f t="shared" si="1"/>
        <v>650.03480000000002</v>
      </c>
      <c r="U23" s="16"/>
    </row>
    <row r="24" spans="1:16384" customFormat="1" x14ac:dyDescent="0.35">
      <c r="A24" s="137">
        <v>3</v>
      </c>
      <c r="B24" s="168" t="s">
        <v>41</v>
      </c>
      <c r="C24" s="168" t="s">
        <v>91</v>
      </c>
      <c r="D24" t="s">
        <v>62</v>
      </c>
      <c r="E24" t="s">
        <v>63</v>
      </c>
      <c r="F24" t="s">
        <v>83</v>
      </c>
      <c r="G24" s="168" t="s">
        <v>92</v>
      </c>
      <c r="H24" t="s">
        <v>80</v>
      </c>
      <c r="I24" t="s">
        <v>70</v>
      </c>
      <c r="J24" t="s">
        <v>88</v>
      </c>
      <c r="K24" s="138"/>
      <c r="L24" s="139">
        <f>1647*$V$1</f>
        <v>2371.7129400000003</v>
      </c>
      <c r="M24" s="139">
        <f>3260*$V$1</f>
        <v>4694.4652000000006</v>
      </c>
      <c r="N24" s="139">
        <f t="shared" si="0"/>
        <v>2322.7522600000002</v>
      </c>
      <c r="O24" s="140">
        <v>2.3999999999999998E-3</v>
      </c>
      <c r="P24" s="140">
        <v>8.0399999999999999E-2</v>
      </c>
      <c r="Q24" s="140">
        <v>1.7770999999999999</v>
      </c>
      <c r="R24" s="140"/>
      <c r="S24" t="s">
        <v>99</v>
      </c>
      <c r="T24" s="141">
        <f t="shared" si="1"/>
        <v>11.266716479999999</v>
      </c>
      <c r="U24" s="16"/>
    </row>
    <row r="25" spans="1:16384" customFormat="1" x14ac:dyDescent="0.35">
      <c r="A25" s="137">
        <v>4</v>
      </c>
      <c r="B25" s="168" t="s">
        <v>41</v>
      </c>
      <c r="C25" s="168" t="s">
        <v>107</v>
      </c>
      <c r="D25" t="s">
        <v>21</v>
      </c>
      <c r="E25" t="s">
        <v>108</v>
      </c>
      <c r="F25" t="s">
        <v>83</v>
      </c>
      <c r="G25" s="168" t="s">
        <v>79</v>
      </c>
      <c r="H25" t="s">
        <v>71</v>
      </c>
      <c r="I25" t="s">
        <v>59</v>
      </c>
      <c r="J25" t="s">
        <v>94</v>
      </c>
      <c r="K25" s="138"/>
      <c r="L25" s="139">
        <v>2146</v>
      </c>
      <c r="M25" s="139">
        <v>4290</v>
      </c>
      <c r="N25" s="139">
        <f t="shared" si="0"/>
        <v>2144</v>
      </c>
      <c r="O25" s="140">
        <v>3.9800000000000002E-2</v>
      </c>
      <c r="P25" s="149">
        <v>0.30420000000000003</v>
      </c>
      <c r="Q25" s="149">
        <v>1.3471</v>
      </c>
      <c r="R25" s="149"/>
      <c r="S25" t="s">
        <v>97</v>
      </c>
      <c r="T25" s="141">
        <f t="shared" si="1"/>
        <v>170.74200000000002</v>
      </c>
      <c r="U25" s="16"/>
    </row>
    <row r="26" spans="1:16384" customFormat="1" x14ac:dyDescent="0.35">
      <c r="A26" s="137">
        <v>5</v>
      </c>
      <c r="B26" s="168" t="s">
        <v>41</v>
      </c>
      <c r="C26" s="168" t="s">
        <v>137</v>
      </c>
      <c r="D26" t="s">
        <v>21</v>
      </c>
      <c r="E26" t="s">
        <v>63</v>
      </c>
      <c r="F26" t="s">
        <v>83</v>
      </c>
      <c r="G26" s="168" t="s">
        <v>147</v>
      </c>
      <c r="H26" t="s">
        <v>80</v>
      </c>
      <c r="I26" t="s">
        <v>70</v>
      </c>
      <c r="J26" t="s">
        <v>94</v>
      </c>
      <c r="K26" s="138">
        <v>0</v>
      </c>
      <c r="L26" s="139">
        <f>2988*V1</f>
        <v>4302.7797600000004</v>
      </c>
      <c r="M26" s="139">
        <f>3075*V1</f>
        <v>4428.0614999999998</v>
      </c>
      <c r="N26" s="139">
        <f t="shared" si="0"/>
        <v>125.28173999999944</v>
      </c>
      <c r="O26" s="140">
        <v>1.2999999999999999E-2</v>
      </c>
      <c r="P26" s="149">
        <v>0.19750000000000001</v>
      </c>
      <c r="Q26" s="149">
        <v>1.9144000000000001</v>
      </c>
      <c r="R26" s="149"/>
      <c r="T26" s="141">
        <f t="shared" si="1"/>
        <v>57.564799499999992</v>
      </c>
      <c r="U26" s="16"/>
    </row>
    <row r="27" spans="1:16384" customFormat="1" x14ac:dyDescent="0.35">
      <c r="A27" s="137">
        <v>6</v>
      </c>
      <c r="B27" s="168" t="s">
        <v>41</v>
      </c>
      <c r="C27" s="168" t="s">
        <v>109</v>
      </c>
      <c r="D27" t="s">
        <v>62</v>
      </c>
      <c r="E27" t="s">
        <v>63</v>
      </c>
      <c r="F27" t="s">
        <v>83</v>
      </c>
      <c r="G27" s="168" t="s">
        <v>103</v>
      </c>
      <c r="H27" t="s">
        <v>65</v>
      </c>
      <c r="I27" t="s">
        <v>59</v>
      </c>
      <c r="J27" t="s">
        <v>88</v>
      </c>
      <c r="K27" s="138"/>
      <c r="L27" s="139">
        <v>6681</v>
      </c>
      <c r="M27" s="139">
        <v>7583</v>
      </c>
      <c r="N27" s="139">
        <f t="shared" si="0"/>
        <v>902</v>
      </c>
      <c r="O27" s="140">
        <v>1.03E-2</v>
      </c>
      <c r="P27" s="149">
        <v>0.15279999999999999</v>
      </c>
      <c r="Q27" s="149">
        <v>1.2643</v>
      </c>
      <c r="R27" s="149"/>
      <c r="S27" t="s">
        <v>99</v>
      </c>
      <c r="T27" s="141">
        <f t="shared" si="1"/>
        <v>78.104900000000001</v>
      </c>
      <c r="U27" s="16"/>
    </row>
    <row r="28" spans="1:16384" customFormat="1" x14ac:dyDescent="0.35">
      <c r="A28" s="137">
        <v>7</v>
      </c>
      <c r="B28" s="168" t="s">
        <v>41</v>
      </c>
      <c r="C28" s="168" t="s">
        <v>110</v>
      </c>
      <c r="D28" t="s">
        <v>62</v>
      </c>
      <c r="E28" t="s">
        <v>63</v>
      </c>
      <c r="F28" t="s">
        <v>83</v>
      </c>
      <c r="G28" s="168" t="s">
        <v>67</v>
      </c>
      <c r="H28" t="s">
        <v>65</v>
      </c>
      <c r="I28" t="s">
        <v>59</v>
      </c>
      <c r="J28" t="s">
        <v>88</v>
      </c>
      <c r="K28" s="138"/>
      <c r="L28" s="139">
        <v>7004</v>
      </c>
      <c r="M28" s="139">
        <v>7335</v>
      </c>
      <c r="N28" s="139">
        <f t="shared" si="0"/>
        <v>331</v>
      </c>
      <c r="O28" s="140">
        <v>2.7300000000000001E-2</v>
      </c>
      <c r="P28" s="149">
        <v>0.16159999999999999</v>
      </c>
      <c r="Q28" s="149">
        <v>0.64780000000000004</v>
      </c>
      <c r="R28" s="149"/>
      <c r="S28" t="s">
        <v>99</v>
      </c>
      <c r="T28" s="141">
        <f t="shared" si="1"/>
        <v>200.24550000000002</v>
      </c>
      <c r="U28" s="16"/>
    </row>
    <row r="29" spans="1:16384" customFormat="1" ht="15" thickBot="1" x14ac:dyDescent="0.4">
      <c r="A29" s="144">
        <v>8</v>
      </c>
      <c r="B29" s="169" t="s">
        <v>41</v>
      </c>
      <c r="C29" s="169" t="s">
        <v>105</v>
      </c>
      <c r="D29" s="15" t="s">
        <v>62</v>
      </c>
      <c r="E29" s="15" t="s">
        <v>67</v>
      </c>
      <c r="F29" s="15" t="s">
        <v>82</v>
      </c>
      <c r="G29" s="169" t="s">
        <v>67</v>
      </c>
      <c r="H29" s="15" t="s">
        <v>71</v>
      </c>
      <c r="I29" s="15" t="s">
        <v>59</v>
      </c>
      <c r="J29" s="15" t="s">
        <v>87</v>
      </c>
      <c r="K29" s="145"/>
      <c r="L29" s="146">
        <v>10604</v>
      </c>
      <c r="M29" s="146">
        <v>10435</v>
      </c>
      <c r="N29" s="146">
        <f t="shared" si="0"/>
        <v>-169</v>
      </c>
      <c r="O29" s="147">
        <v>6.4799999999999996E-2</v>
      </c>
      <c r="P29" s="147">
        <v>5.8000000000000003E-2</v>
      </c>
      <c r="Q29" s="147">
        <v>0.22040000000000001</v>
      </c>
      <c r="R29" s="147"/>
      <c r="S29" s="15" t="s">
        <v>99</v>
      </c>
      <c r="T29" s="148">
        <f t="shared" si="1"/>
        <v>676.18799999999999</v>
      </c>
      <c r="U29" s="17"/>
    </row>
    <row r="30" spans="1:16384" customFormat="1" x14ac:dyDescent="0.35">
      <c r="A30" s="150"/>
      <c r="B30" s="167" t="s">
        <v>111</v>
      </c>
      <c r="C30" s="167" t="s">
        <v>126</v>
      </c>
      <c r="D30" s="10" t="s">
        <v>62</v>
      </c>
      <c r="E30" s="10" t="s">
        <v>63</v>
      </c>
      <c r="F30" s="10" t="s">
        <v>83</v>
      </c>
      <c r="G30" s="167" t="s">
        <v>67</v>
      </c>
      <c r="H30" s="10" t="s">
        <v>71</v>
      </c>
      <c r="I30" s="10" t="s">
        <v>59</v>
      </c>
      <c r="J30" s="10" t="s">
        <v>87</v>
      </c>
      <c r="K30" s="133">
        <v>4.0000000000000001E-3</v>
      </c>
      <c r="L30" s="134">
        <v>29997</v>
      </c>
      <c r="M30" s="134">
        <v>30030</v>
      </c>
      <c r="N30" s="134">
        <f t="shared" si="0"/>
        <v>33</v>
      </c>
      <c r="O30" s="135">
        <v>3.0499999999999999E-2</v>
      </c>
      <c r="P30" s="151">
        <v>0.1772</v>
      </c>
      <c r="Q30" s="151">
        <v>0.50290000000000001</v>
      </c>
      <c r="R30" s="151"/>
      <c r="S30" s="10" t="s">
        <v>127</v>
      </c>
      <c r="T30" s="136">
        <f t="shared" si="1"/>
        <v>915.91499999999996</v>
      </c>
      <c r="U30" s="11"/>
    </row>
    <row r="31" spans="1:16384" customFormat="1" ht="15" thickBot="1" x14ac:dyDescent="0.4">
      <c r="A31" s="13"/>
      <c r="B31" s="169" t="s">
        <v>111</v>
      </c>
      <c r="C31" s="169" t="s">
        <v>128</v>
      </c>
      <c r="D31" s="15" t="s">
        <v>62</v>
      </c>
      <c r="E31" s="15" t="s">
        <v>63</v>
      </c>
      <c r="F31" s="15" t="s">
        <v>83</v>
      </c>
      <c r="G31" s="169" t="s">
        <v>67</v>
      </c>
      <c r="H31" s="15" t="s">
        <v>56</v>
      </c>
      <c r="I31" s="15" t="s">
        <v>59</v>
      </c>
      <c r="J31" s="15" t="s">
        <v>87</v>
      </c>
      <c r="K31" s="145">
        <v>4.0000000000000001E-3</v>
      </c>
      <c r="L31" s="146">
        <v>22039</v>
      </c>
      <c r="M31" s="146">
        <v>22054</v>
      </c>
      <c r="N31" s="146">
        <f t="shared" si="0"/>
        <v>15</v>
      </c>
      <c r="O31" s="161">
        <v>2.3E-2</v>
      </c>
      <c r="P31" s="162">
        <v>0.1246</v>
      </c>
      <c r="Q31" s="162">
        <v>0.76039999999999996</v>
      </c>
      <c r="R31" s="162"/>
      <c r="S31" s="15" t="s">
        <v>127</v>
      </c>
      <c r="T31" s="148">
        <f t="shared" si="1"/>
        <v>507.24200000000002</v>
      </c>
      <c r="U31" s="17"/>
    </row>
    <row r="32" spans="1:16384" customFormat="1" x14ac:dyDescent="0.35">
      <c r="A32" s="12"/>
      <c r="B32" s="168" t="s">
        <v>130</v>
      </c>
      <c r="C32" s="168" t="s">
        <v>132</v>
      </c>
      <c r="D32" t="s">
        <v>62</v>
      </c>
      <c r="E32" t="s">
        <v>63</v>
      </c>
      <c r="F32" t="s">
        <v>83</v>
      </c>
      <c r="G32" s="168" t="s">
        <v>67</v>
      </c>
      <c r="H32" t="s">
        <v>65</v>
      </c>
      <c r="I32" t="s">
        <v>59</v>
      </c>
      <c r="J32" t="s">
        <v>87</v>
      </c>
      <c r="K32" s="153">
        <f>0.4%</f>
        <v>4.0000000000000001E-3</v>
      </c>
      <c r="L32" s="139"/>
      <c r="M32" s="139">
        <f>60977*W32</f>
        <v>17805.284</v>
      </c>
      <c r="N32" s="139"/>
      <c r="O32" s="152">
        <v>1.3300000000000001E-2</v>
      </c>
      <c r="P32" s="149">
        <v>9.5200000000000007E-2</v>
      </c>
      <c r="Q32" s="149">
        <v>1.2851999999999999</v>
      </c>
      <c r="R32" s="149"/>
      <c r="T32" s="141">
        <f t="shared" si="1"/>
        <v>236.8102772</v>
      </c>
      <c r="U32" s="16"/>
      <c r="W32" s="128">
        <v>0.29199999999999998</v>
      </c>
    </row>
    <row r="33" spans="1:23" x14ac:dyDescent="0.35">
      <c r="A33" s="12"/>
      <c r="B33" s="168" t="s">
        <v>130</v>
      </c>
      <c r="C33" s="168" t="s">
        <v>136</v>
      </c>
      <c r="D33" t="s">
        <v>62</v>
      </c>
      <c r="E33" t="s">
        <v>63</v>
      </c>
      <c r="F33" t="s">
        <v>83</v>
      </c>
      <c r="G33" s="168" t="s">
        <v>67</v>
      </c>
      <c r="H33" t="s">
        <v>71</v>
      </c>
      <c r="I33" t="s">
        <v>59</v>
      </c>
      <c r="J33" t="s">
        <v>87</v>
      </c>
      <c r="K33" s="153">
        <v>4.0000000000000001E-3</v>
      </c>
      <c r="L33" s="139"/>
      <c r="M33" s="139">
        <f>60977*W33</f>
        <v>30183.614999999998</v>
      </c>
      <c r="N33" s="139"/>
      <c r="P33" s="149"/>
      <c r="Q33" s="149"/>
      <c r="R33" s="149"/>
      <c r="T33" s="141">
        <f t="shared" si="1"/>
        <v>0</v>
      </c>
      <c r="U33" s="16"/>
      <c r="W33" s="129">
        <f>22.6%+15.4%+11.5%</f>
        <v>0.495</v>
      </c>
    </row>
    <row r="34" spans="1:23" x14ac:dyDescent="0.35">
      <c r="A34" s="12"/>
      <c r="B34" s="168" t="s">
        <v>130</v>
      </c>
      <c r="C34" s="168" t="s">
        <v>135</v>
      </c>
      <c r="D34" t="s">
        <v>62</v>
      </c>
      <c r="E34" t="s">
        <v>63</v>
      </c>
      <c r="F34" t="s">
        <v>83</v>
      </c>
      <c r="G34" s="168" t="s">
        <v>67</v>
      </c>
      <c r="H34" t="s">
        <v>56</v>
      </c>
      <c r="I34" t="s">
        <v>59</v>
      </c>
      <c r="J34" t="s">
        <v>87</v>
      </c>
      <c r="K34" s="138">
        <f>0.4%+0.04%</f>
        <v>4.4000000000000003E-3</v>
      </c>
      <c r="L34" s="139"/>
      <c r="M34" s="139">
        <f>60977*W34</f>
        <v>6829.424</v>
      </c>
      <c r="N34" s="139"/>
      <c r="O34" s="140">
        <v>2.75E-2</v>
      </c>
      <c r="P34" s="140">
        <v>14.41</v>
      </c>
      <c r="Q34" s="140">
        <v>0.95350000000000001</v>
      </c>
      <c r="R34" s="140"/>
      <c r="T34" s="141">
        <f t="shared" si="1"/>
        <v>187.80915999999999</v>
      </c>
      <c r="U34" s="16"/>
      <c r="W34" s="130">
        <v>0.112</v>
      </c>
    </row>
    <row r="35" spans="1:23" x14ac:dyDescent="0.35">
      <c r="A35" s="12"/>
      <c r="B35" s="168" t="s">
        <v>130</v>
      </c>
      <c r="C35" s="168" t="s">
        <v>134</v>
      </c>
      <c r="D35" t="s">
        <v>62</v>
      </c>
      <c r="E35" t="s">
        <v>63</v>
      </c>
      <c r="F35" t="s">
        <v>83</v>
      </c>
      <c r="G35" s="168" t="s">
        <v>112</v>
      </c>
      <c r="H35" t="s">
        <v>80</v>
      </c>
      <c r="I35" t="s">
        <v>59</v>
      </c>
      <c r="J35" t="s">
        <v>87</v>
      </c>
      <c r="K35" s="138">
        <f>0.4%+0.22%</f>
        <v>6.2000000000000006E-3</v>
      </c>
      <c r="L35" s="139"/>
      <c r="M35" s="139">
        <f>60977*W35</f>
        <v>4451.3209999999999</v>
      </c>
      <c r="N35" s="139"/>
      <c r="O35" s="140">
        <v>3.0700000000000002E-2</v>
      </c>
      <c r="P35" s="140">
        <v>3.8899999999999997E-2</v>
      </c>
      <c r="Q35" s="140">
        <v>-0.33439999999999998</v>
      </c>
      <c r="R35" s="140"/>
      <c r="T35" s="141">
        <f t="shared" si="1"/>
        <v>136.65555470000001</v>
      </c>
      <c r="U35" s="16"/>
      <c r="W35" s="130">
        <v>7.2999999999999995E-2</v>
      </c>
    </row>
    <row r="36" spans="1:23" ht="15" thickBot="1" x14ac:dyDescent="0.4">
      <c r="A36" s="13"/>
      <c r="B36" s="169" t="s">
        <v>130</v>
      </c>
      <c r="C36" s="169" t="s">
        <v>133</v>
      </c>
      <c r="D36" s="15" t="s">
        <v>62</v>
      </c>
      <c r="E36" s="15" t="s">
        <v>63</v>
      </c>
      <c r="F36" s="15" t="s">
        <v>83</v>
      </c>
      <c r="G36" s="169" t="s">
        <v>131</v>
      </c>
      <c r="H36" s="15" t="s">
        <v>71</v>
      </c>
      <c r="I36" s="15" t="s">
        <v>59</v>
      </c>
      <c r="J36" s="15" t="s">
        <v>87</v>
      </c>
      <c r="K36" s="145">
        <f>0.4%+0.1%</f>
        <v>5.0000000000000001E-3</v>
      </c>
      <c r="L36" s="146"/>
      <c r="M36" s="146">
        <f>60977*W36</f>
        <v>1524.4250000000002</v>
      </c>
      <c r="N36" s="146"/>
      <c r="O36" s="147">
        <v>0</v>
      </c>
      <c r="P36" s="147">
        <v>0.38750000000000001</v>
      </c>
      <c r="Q36" s="147">
        <v>1.0013000000000001</v>
      </c>
      <c r="R36" s="147"/>
      <c r="S36" s="15"/>
      <c r="T36" s="148">
        <f t="shared" si="1"/>
        <v>0</v>
      </c>
      <c r="U36" s="17"/>
      <c r="W36" s="130">
        <v>2.5000000000000001E-2</v>
      </c>
    </row>
    <row r="37" spans="1:23" ht="15" thickBot="1" x14ac:dyDescent="0.4">
      <c r="A37" s="154"/>
      <c r="B37" s="170" t="s">
        <v>129</v>
      </c>
      <c r="C37" s="170" t="s">
        <v>10</v>
      </c>
      <c r="D37" s="155" t="s">
        <v>21</v>
      </c>
      <c r="E37" s="155" t="s">
        <v>67</v>
      </c>
      <c r="F37" s="155" t="s">
        <v>83</v>
      </c>
      <c r="G37" s="170" t="s">
        <v>68</v>
      </c>
      <c r="H37" s="155" t="s">
        <v>56</v>
      </c>
      <c r="I37" s="155" t="s">
        <v>59</v>
      </c>
      <c r="J37" s="155" t="s">
        <v>94</v>
      </c>
      <c r="K37" s="156">
        <v>0</v>
      </c>
      <c r="L37" s="157">
        <f>35654+63374</f>
        <v>99028</v>
      </c>
      <c r="M37" s="157">
        <f>62024+34935</f>
        <v>96959</v>
      </c>
      <c r="N37" s="157">
        <f>M37-L37</f>
        <v>-2069</v>
      </c>
      <c r="O37" s="158">
        <v>6.1399999999999996E-2</v>
      </c>
      <c r="P37" s="158">
        <v>1.5299999999999999E-2</v>
      </c>
      <c r="Q37" s="158">
        <v>0.29160000000000003</v>
      </c>
      <c r="R37" s="158"/>
      <c r="S37" s="155" t="s">
        <v>99</v>
      </c>
      <c r="T37" s="159">
        <f t="shared" si="1"/>
        <v>5953.2825999999995</v>
      </c>
      <c r="U37" s="160"/>
    </row>
    <row r="38" spans="1:23" x14ac:dyDescent="0.35">
      <c r="A38" s="150"/>
      <c r="B38" s="167" t="s">
        <v>119</v>
      </c>
      <c r="C38" s="167" t="s">
        <v>113</v>
      </c>
      <c r="D38" s="10" t="s">
        <v>118</v>
      </c>
      <c r="E38" s="10" t="s">
        <v>63</v>
      </c>
      <c r="F38" s="10" t="s">
        <v>83</v>
      </c>
      <c r="G38" s="167" t="s">
        <v>67</v>
      </c>
      <c r="H38" s="10" t="s">
        <v>71</v>
      </c>
      <c r="I38" s="10" t="s">
        <v>59</v>
      </c>
      <c r="J38" s="10"/>
      <c r="K38" s="163">
        <v>8.4000000000000003E-4</v>
      </c>
      <c r="L38" s="134"/>
      <c r="M38" s="134">
        <v>22713</v>
      </c>
      <c r="N38" s="134"/>
      <c r="O38" s="135"/>
      <c r="P38" s="135">
        <v>0.1976</v>
      </c>
      <c r="Q38" s="135">
        <f>8.88*5%</f>
        <v>0.44400000000000006</v>
      </c>
      <c r="R38" s="135"/>
      <c r="S38" s="10" t="s">
        <v>99</v>
      </c>
      <c r="T38" s="136">
        <f t="shared" si="1"/>
        <v>0</v>
      </c>
      <c r="U38" s="11"/>
    </row>
    <row r="39" spans="1:23" x14ac:dyDescent="0.35">
      <c r="A39" s="12"/>
      <c r="B39" s="168" t="s">
        <v>119</v>
      </c>
      <c r="C39" s="168" t="s">
        <v>114</v>
      </c>
      <c r="D39" t="s">
        <v>118</v>
      </c>
      <c r="E39" t="s">
        <v>63</v>
      </c>
      <c r="F39" t="s">
        <v>83</v>
      </c>
      <c r="G39" s="168" t="s">
        <v>67</v>
      </c>
      <c r="H39" t="s">
        <v>71</v>
      </c>
      <c r="I39" t="s">
        <v>59</v>
      </c>
      <c r="K39" s="164">
        <v>8.8999999999999995E-4</v>
      </c>
      <c r="L39" s="139"/>
      <c r="M39" s="139">
        <v>7480</v>
      </c>
      <c r="N39" s="139"/>
      <c r="O39" s="140"/>
      <c r="P39" s="140">
        <v>0.25</v>
      </c>
      <c r="Q39" s="140">
        <f>10.95*5%</f>
        <v>0.54749999999999999</v>
      </c>
      <c r="R39" s="140"/>
      <c r="S39" t="s">
        <v>99</v>
      </c>
      <c r="T39" s="141">
        <f t="shared" si="1"/>
        <v>0</v>
      </c>
      <c r="U39" s="16"/>
    </row>
    <row r="40" spans="1:23" x14ac:dyDescent="0.35">
      <c r="A40" s="12"/>
      <c r="B40" s="168" t="s">
        <v>119</v>
      </c>
      <c r="C40" s="168" t="s">
        <v>115</v>
      </c>
      <c r="D40" t="s">
        <v>118</v>
      </c>
      <c r="E40" t="s">
        <v>63</v>
      </c>
      <c r="F40" t="s">
        <v>83</v>
      </c>
      <c r="G40" s="168" t="s">
        <v>103</v>
      </c>
      <c r="H40" t="s">
        <v>65</v>
      </c>
      <c r="I40" t="s">
        <v>59</v>
      </c>
      <c r="J40" t="s">
        <v>88</v>
      </c>
      <c r="K40" s="164">
        <v>5.2999999999999998E-4</v>
      </c>
      <c r="L40" s="139"/>
      <c r="M40" s="139">
        <v>7976</v>
      </c>
      <c r="N40" s="139"/>
      <c r="O40" s="140"/>
      <c r="P40" s="140">
        <v>0.35930000000000001</v>
      </c>
      <c r="Q40" s="140">
        <f>5*0.1657</f>
        <v>0.8284999999999999</v>
      </c>
      <c r="R40" s="140"/>
      <c r="S40" t="s">
        <v>99</v>
      </c>
      <c r="T40" s="141">
        <f t="shared" si="1"/>
        <v>0</v>
      </c>
      <c r="U40" s="16"/>
    </row>
    <row r="41" spans="1:23" x14ac:dyDescent="0.35">
      <c r="A41" s="12"/>
      <c r="B41" s="168" t="s">
        <v>119</v>
      </c>
      <c r="C41" s="168" t="s">
        <v>117</v>
      </c>
      <c r="D41" t="s">
        <v>118</v>
      </c>
      <c r="E41" t="s">
        <v>63</v>
      </c>
      <c r="F41" t="s">
        <v>83</v>
      </c>
      <c r="G41" s="168" t="s">
        <v>67</v>
      </c>
      <c r="H41" t="s">
        <v>71</v>
      </c>
      <c r="I41" t="s">
        <v>59</v>
      </c>
      <c r="K41" s="164">
        <v>6.3000000000000003E-4</v>
      </c>
      <c r="L41" s="139"/>
      <c r="M41" s="139">
        <v>4813</v>
      </c>
      <c r="N41" s="139"/>
      <c r="O41" s="140"/>
      <c r="P41" s="140">
        <v>0.13420000000000001</v>
      </c>
      <c r="Q41" s="140">
        <f>5*0.0897</f>
        <v>0.44850000000000001</v>
      </c>
      <c r="R41" s="140"/>
      <c r="S41" t="s">
        <v>99</v>
      </c>
      <c r="T41" s="141">
        <f t="shared" si="1"/>
        <v>0</v>
      </c>
      <c r="U41" s="16"/>
    </row>
    <row r="42" spans="1:23" x14ac:dyDescent="0.35">
      <c r="A42" s="12"/>
      <c r="B42" s="168" t="s">
        <v>119</v>
      </c>
      <c r="C42" s="168" t="s">
        <v>116</v>
      </c>
      <c r="D42" t="s">
        <v>118</v>
      </c>
      <c r="E42" t="s">
        <v>63</v>
      </c>
      <c r="F42" t="s">
        <v>83</v>
      </c>
      <c r="G42" s="168" t="s">
        <v>67</v>
      </c>
      <c r="H42" t="s">
        <v>71</v>
      </c>
      <c r="I42" t="s">
        <v>59</v>
      </c>
      <c r="J42" t="s">
        <v>88</v>
      </c>
      <c r="K42" s="164">
        <v>6.3000000000000003E-4</v>
      </c>
      <c r="L42" s="139"/>
      <c r="M42" s="139">
        <v>2741</v>
      </c>
      <c r="N42" s="139"/>
      <c r="O42" s="140"/>
      <c r="P42" s="140">
        <v>0.13189999999999999</v>
      </c>
      <c r="Q42" s="140">
        <f>5*0.0692</f>
        <v>0.34599999999999997</v>
      </c>
      <c r="R42" s="140"/>
      <c r="S42" t="s">
        <v>99</v>
      </c>
      <c r="T42" s="141">
        <f t="shared" si="1"/>
        <v>0</v>
      </c>
      <c r="U42" s="16"/>
    </row>
    <row r="43" spans="1:23" x14ac:dyDescent="0.35">
      <c r="A43" s="12"/>
      <c r="B43" s="168" t="s">
        <v>120</v>
      </c>
      <c r="C43" s="168" t="s">
        <v>113</v>
      </c>
      <c r="D43" t="s">
        <v>118</v>
      </c>
      <c r="E43" t="s">
        <v>63</v>
      </c>
      <c r="F43" t="s">
        <v>83</v>
      </c>
      <c r="G43" s="168" t="s">
        <v>67</v>
      </c>
      <c r="H43" t="s">
        <v>71</v>
      </c>
      <c r="I43" t="s">
        <v>59</v>
      </c>
      <c r="K43" s="164">
        <v>8.4000000000000003E-4</v>
      </c>
      <c r="L43" s="139"/>
      <c r="M43" s="139">
        <v>23779</v>
      </c>
      <c r="N43" s="139"/>
      <c r="O43" s="140"/>
      <c r="P43" s="140">
        <v>0.1976</v>
      </c>
      <c r="Q43" s="140">
        <f>8.88*5%</f>
        <v>0.44400000000000006</v>
      </c>
      <c r="R43" s="140"/>
      <c r="S43" t="s">
        <v>99</v>
      </c>
      <c r="T43" s="141">
        <f t="shared" si="1"/>
        <v>0</v>
      </c>
      <c r="U43" s="16"/>
    </row>
    <row r="44" spans="1:23" x14ac:dyDescent="0.35">
      <c r="A44" s="12"/>
      <c r="B44" s="168" t="s">
        <v>120</v>
      </c>
      <c r="C44" s="168" t="s">
        <v>114</v>
      </c>
      <c r="D44" t="s">
        <v>118</v>
      </c>
      <c r="E44" t="s">
        <v>63</v>
      </c>
      <c r="F44" t="s">
        <v>83</v>
      </c>
      <c r="G44" s="168" t="s">
        <v>67</v>
      </c>
      <c r="H44" t="s">
        <v>71</v>
      </c>
      <c r="I44" t="s">
        <v>59</v>
      </c>
      <c r="K44" s="164">
        <v>8.8999999999999995E-4</v>
      </c>
      <c r="L44" s="139"/>
      <c r="M44" s="139">
        <v>4623</v>
      </c>
      <c r="N44" s="139"/>
      <c r="O44" s="140"/>
      <c r="P44" s="140">
        <v>0.25</v>
      </c>
      <c r="Q44" s="140">
        <f>10.95*5%</f>
        <v>0.54749999999999999</v>
      </c>
      <c r="R44" s="140"/>
      <c r="S44" t="s">
        <v>99</v>
      </c>
      <c r="T44" s="141">
        <f t="shared" si="1"/>
        <v>0</v>
      </c>
      <c r="U44" s="16"/>
    </row>
    <row r="45" spans="1:23" x14ac:dyDescent="0.35">
      <c r="A45" s="12"/>
      <c r="B45" s="168" t="s">
        <v>120</v>
      </c>
      <c r="C45" s="168" t="s">
        <v>115</v>
      </c>
      <c r="D45" t="s">
        <v>118</v>
      </c>
      <c r="E45" t="s">
        <v>63</v>
      </c>
      <c r="F45" t="s">
        <v>83</v>
      </c>
      <c r="G45" s="168" t="s">
        <v>103</v>
      </c>
      <c r="H45" t="s">
        <v>65</v>
      </c>
      <c r="I45" t="s">
        <v>59</v>
      </c>
      <c r="J45" t="s">
        <v>88</v>
      </c>
      <c r="K45" s="164">
        <v>5.2999999999999998E-4</v>
      </c>
      <c r="L45" s="139"/>
      <c r="M45" s="139">
        <v>9982</v>
      </c>
      <c r="N45" s="139"/>
      <c r="O45" s="140"/>
      <c r="P45" s="140">
        <v>0.35930000000000001</v>
      </c>
      <c r="Q45" s="140">
        <f>5*0.1657</f>
        <v>0.8284999999999999</v>
      </c>
      <c r="R45" s="140"/>
      <c r="S45" t="s">
        <v>99</v>
      </c>
      <c r="T45" s="141">
        <f t="shared" si="1"/>
        <v>0</v>
      </c>
      <c r="U45" s="16"/>
    </row>
    <row r="46" spans="1:23" ht="15" thickBot="1" x14ac:dyDescent="0.4">
      <c r="A46" s="13"/>
      <c r="B46" s="169" t="s">
        <v>120</v>
      </c>
      <c r="C46" s="169" t="s">
        <v>116</v>
      </c>
      <c r="D46" s="15" t="s">
        <v>118</v>
      </c>
      <c r="E46" s="15" t="s">
        <v>63</v>
      </c>
      <c r="F46" s="15" t="s">
        <v>83</v>
      </c>
      <c r="G46" s="169" t="s">
        <v>67</v>
      </c>
      <c r="H46" s="15" t="s">
        <v>71</v>
      </c>
      <c r="I46" s="15" t="s">
        <v>59</v>
      </c>
      <c r="J46" s="15" t="s">
        <v>88</v>
      </c>
      <c r="K46" s="165">
        <v>6.3000000000000003E-4</v>
      </c>
      <c r="L46" s="146"/>
      <c r="M46" s="146">
        <v>7240</v>
      </c>
      <c r="N46" s="146"/>
      <c r="O46" s="147"/>
      <c r="P46" s="147">
        <v>0.13189999999999999</v>
      </c>
      <c r="Q46" s="147">
        <f>5*0.0692</f>
        <v>0.34599999999999997</v>
      </c>
      <c r="R46" s="147"/>
      <c r="S46" s="15" t="s">
        <v>99</v>
      </c>
      <c r="T46" s="148">
        <f t="shared" si="1"/>
        <v>0</v>
      </c>
      <c r="U46" s="17"/>
    </row>
    <row r="47" spans="1:23" x14ac:dyDescent="0.35">
      <c r="M47" s="2">
        <f>SUM(M2:M46)</f>
        <v>771085.47936</v>
      </c>
      <c r="T47" s="1">
        <f>SUM(T2:T46)</f>
        <v>33922.978150475996</v>
      </c>
    </row>
  </sheetData>
  <autoFilter ref="B1:S48" xr:uid="{CEA13082-DB9E-4861-99B2-12CECF52838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59D0-4BFD-43CA-AFE7-BE1C405A10E9}">
  <dimension ref="A1:K35"/>
  <sheetViews>
    <sheetView showGridLines="0" topLeftCell="A14" zoomScale="90" zoomScaleNormal="90" workbookViewId="0">
      <selection activeCell="P16" sqref="P16"/>
    </sheetView>
  </sheetViews>
  <sheetFormatPr defaultRowHeight="14.5" x14ac:dyDescent="0.35"/>
  <cols>
    <col min="1" max="1" width="13.1796875" bestFit="1" customWidth="1"/>
    <col min="2" max="2" width="19.453125" bestFit="1" customWidth="1"/>
    <col min="3" max="3" width="21" style="3" customWidth="1"/>
    <col min="4" max="4" width="7" customWidth="1"/>
    <col min="5" max="5" width="12.54296875" bestFit="1" customWidth="1"/>
    <col min="6" max="6" width="19.453125" bestFit="1" customWidth="1"/>
    <col min="7" max="7" width="11.1796875" bestFit="1" customWidth="1"/>
    <col min="8" max="9" width="7.6328125" bestFit="1" customWidth="1"/>
    <col min="10" max="10" width="12.54296875" bestFit="1" customWidth="1"/>
    <col min="11" max="11" width="19.453125" bestFit="1" customWidth="1"/>
    <col min="12" max="24" width="7.6328125" bestFit="1" customWidth="1"/>
    <col min="25" max="44" width="8.6328125" bestFit="1" customWidth="1"/>
    <col min="45" max="45" width="9.6328125" bestFit="1" customWidth="1"/>
    <col min="46" max="46" width="12.08984375" bestFit="1" customWidth="1"/>
  </cols>
  <sheetData>
    <row r="1" spans="1:11" x14ac:dyDescent="0.35">
      <c r="E1" s="125" t="s">
        <v>123</v>
      </c>
      <c r="F1" t="s">
        <v>125</v>
      </c>
      <c r="J1" s="125" t="s">
        <v>123</v>
      </c>
      <c r="K1" t="s">
        <v>125</v>
      </c>
    </row>
    <row r="2" spans="1:11" x14ac:dyDescent="0.35">
      <c r="A2" s="125" t="s">
        <v>123</v>
      </c>
      <c r="B2" t="s">
        <v>125</v>
      </c>
      <c r="E2" s="126" t="s">
        <v>67</v>
      </c>
      <c r="F2" s="127">
        <v>290760.32299999997</v>
      </c>
      <c r="J2" s="126" t="s">
        <v>55</v>
      </c>
      <c r="K2">
        <v>55268</v>
      </c>
    </row>
    <row r="3" spans="1:11" x14ac:dyDescent="0.35">
      <c r="A3" s="126" t="s">
        <v>56</v>
      </c>
      <c r="B3" s="2">
        <v>231499.424</v>
      </c>
      <c r="E3" s="126" t="s">
        <v>68</v>
      </c>
      <c r="F3" s="127">
        <v>168149</v>
      </c>
      <c r="J3" s="126" t="s">
        <v>63</v>
      </c>
      <c r="K3">
        <v>375917.47936</v>
      </c>
    </row>
    <row r="4" spans="1:11" x14ac:dyDescent="0.35">
      <c r="A4" s="126" t="s">
        <v>71</v>
      </c>
      <c r="B4" s="2">
        <v>223973.87193999998</v>
      </c>
      <c r="E4" s="126" t="s">
        <v>92</v>
      </c>
      <c r="F4" s="127">
        <v>118895.51692000001</v>
      </c>
      <c r="J4" s="126" t="s">
        <v>67</v>
      </c>
      <c r="K4">
        <v>339900</v>
      </c>
    </row>
    <row r="5" spans="1:11" x14ac:dyDescent="0.35">
      <c r="A5" s="126" t="s">
        <v>80</v>
      </c>
      <c r="B5" s="2">
        <v>105482.8477</v>
      </c>
      <c r="E5" s="126" t="s">
        <v>103</v>
      </c>
      <c r="F5" s="127">
        <v>51557</v>
      </c>
      <c r="J5" s="126" t="s">
        <v>124</v>
      </c>
      <c r="K5">
        <v>771085.47936</v>
      </c>
    </row>
    <row r="6" spans="1:11" x14ac:dyDescent="0.35">
      <c r="A6" s="126" t="s">
        <v>65</v>
      </c>
      <c r="B6" s="2">
        <v>210129.33571999997</v>
      </c>
      <c r="E6" s="126" t="s">
        <v>73</v>
      </c>
      <c r="F6" s="127">
        <v>32254</v>
      </c>
    </row>
    <row r="7" spans="1:11" x14ac:dyDescent="0.35">
      <c r="A7" s="126" t="s">
        <v>124</v>
      </c>
      <c r="B7" s="2">
        <v>771085.47936</v>
      </c>
      <c r="E7" s="126" t="s">
        <v>79</v>
      </c>
      <c r="F7" s="127">
        <v>28217</v>
      </c>
    </row>
    <row r="8" spans="1:11" x14ac:dyDescent="0.35">
      <c r="E8" s="126" t="s">
        <v>76</v>
      </c>
      <c r="F8" s="127">
        <v>8556</v>
      </c>
    </row>
    <row r="9" spans="1:11" x14ac:dyDescent="0.35">
      <c r="E9" s="126" t="s">
        <v>64</v>
      </c>
      <c r="F9" s="127">
        <v>5831</v>
      </c>
    </row>
    <row r="10" spans="1:11" x14ac:dyDescent="0.35">
      <c r="E10" s="126" t="s">
        <v>112</v>
      </c>
      <c r="F10" s="127">
        <v>4451.3209999999999</v>
      </c>
    </row>
    <row r="11" spans="1:11" x14ac:dyDescent="0.35">
      <c r="E11" s="126" t="s">
        <v>131</v>
      </c>
      <c r="F11" s="127">
        <v>1524.4250000000002</v>
      </c>
    </row>
    <row r="12" spans="1:11" x14ac:dyDescent="0.35">
      <c r="E12" s="126" t="s">
        <v>124</v>
      </c>
      <c r="F12" s="127">
        <v>710195.58591999998</v>
      </c>
    </row>
    <row r="14" spans="1:11" ht="39.5" customHeight="1" x14ac:dyDescent="0.35"/>
    <row r="16" spans="1:11" ht="45.5" customHeight="1" x14ac:dyDescent="0.35"/>
    <row r="17" spans="1:11" x14ac:dyDescent="0.35">
      <c r="E17" s="125" t="s">
        <v>123</v>
      </c>
      <c r="F17" t="s">
        <v>125</v>
      </c>
      <c r="J17" s="125" t="s">
        <v>123</v>
      </c>
      <c r="K17" t="s">
        <v>125</v>
      </c>
    </row>
    <row r="18" spans="1:11" x14ac:dyDescent="0.35">
      <c r="A18" s="125" t="s">
        <v>123</v>
      </c>
      <c r="B18" t="s">
        <v>125</v>
      </c>
      <c r="E18" s="126" t="s">
        <v>83</v>
      </c>
      <c r="F18">
        <v>573235.47936</v>
      </c>
      <c r="J18" s="126" t="s">
        <v>59</v>
      </c>
      <c r="K18">
        <v>663778.0689999999</v>
      </c>
    </row>
    <row r="19" spans="1:11" x14ac:dyDescent="0.35">
      <c r="A19" s="126" t="s">
        <v>21</v>
      </c>
      <c r="B19">
        <v>191230.80544</v>
      </c>
      <c r="C19" s="3">
        <f>GETPIVOTDATA("Market Value",$A$18,"Security type","Company")/GETPIVOTDATA("Market Value",$A$18)</f>
        <v>0.24800208350275427</v>
      </c>
      <c r="E19" s="126" t="s">
        <v>82</v>
      </c>
      <c r="F19">
        <v>197850</v>
      </c>
      <c r="J19" s="126" t="s">
        <v>70</v>
      </c>
      <c r="K19">
        <v>107307.41036000001</v>
      </c>
    </row>
    <row r="20" spans="1:11" x14ac:dyDescent="0.35">
      <c r="A20" s="126" t="s">
        <v>62</v>
      </c>
      <c r="B20">
        <v>482171.58591999992</v>
      </c>
      <c r="C20" s="3">
        <f>GETPIVOTDATA("Market Value",$A$18,"Security type","ETF")/GETPIVOTDATA("Market Value",$A$18)</f>
        <v>0.62531534936982835</v>
      </c>
      <c r="E20" s="126" t="s">
        <v>124</v>
      </c>
      <c r="F20">
        <v>771085.47936</v>
      </c>
      <c r="J20" s="126" t="s">
        <v>124</v>
      </c>
      <c r="K20">
        <v>771085.47935999988</v>
      </c>
    </row>
    <row r="21" spans="1:11" x14ac:dyDescent="0.35">
      <c r="A21" s="126" t="s">
        <v>118</v>
      </c>
      <c r="B21">
        <v>97683.088000000003</v>
      </c>
      <c r="C21" s="3">
        <f>GETPIVOTDATA("Market Value",$A$18,"Security type","Fund")/GETPIVOTDATA("Market Value",$A$18)</f>
        <v>0.12668256712741741</v>
      </c>
    </row>
    <row r="22" spans="1:11" x14ac:dyDescent="0.35">
      <c r="A22" s="126" t="s">
        <v>124</v>
      </c>
      <c r="B22">
        <v>771085.47935999988</v>
      </c>
    </row>
    <row r="35" ht="26" customHeight="1" x14ac:dyDescent="0.35"/>
  </sheetData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Investments</vt:lpstr>
      <vt:lpstr>Dividends</vt:lpstr>
      <vt:lpstr>Investment Overview</vt:lpstr>
      <vt:lpstr>Breakdow stocks - 17Mar25</vt:lpstr>
      <vt:lpstr>Breakdown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Amaral, Simone</dc:creator>
  <cp:lastModifiedBy>Simone Amaral</cp:lastModifiedBy>
  <dcterms:created xsi:type="dcterms:W3CDTF">2023-03-29T13:18:37Z</dcterms:created>
  <dcterms:modified xsi:type="dcterms:W3CDTF">2026-02-24T03:21:44Z</dcterms:modified>
</cp:coreProperties>
</file>